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 projects\App_Combustible\"/>
    </mc:Choice>
  </mc:AlternateContent>
  <bookViews>
    <workbookView xWindow="-120" yWindow="-120" windowWidth="20730" windowHeight="11160" tabRatio="773" firstSheet="1" activeTab="7"/>
  </bookViews>
  <sheets>
    <sheet name="EXC-350PC" sheetId="22" r:id="rId1"/>
    <sheet name="EXC. DOOSAN" sheetId="12" r:id="rId2"/>
    <sheet name="Camioneta serv" sheetId="28" r:id="rId3"/>
    <sheet name="EXC. Kobelco SK-350" sheetId="17" r:id="rId4"/>
    <sheet name="TRAC D-155 82071" sheetId="19" r:id="rId5"/>
    <sheet name="TRAC-D155 82081" sheetId="18" r:id="rId6"/>
    <sheet name="TRAC D-komatsu" sheetId="27" r:id="rId7"/>
    <sheet name="Consolidado" sheetId="26" r:id="rId8"/>
  </sheets>
  <definedNames>
    <definedName name="_xlnm.Print_Area" localSheetId="2">'Camioneta serv'!$B$2:$I$18</definedName>
    <definedName name="_xlnm.Print_Area" localSheetId="1">'EXC. DOOSAN'!$B$2:$J$70</definedName>
    <definedName name="_xlnm.Print_Area" localSheetId="3">'EXC. Kobelco SK-350'!$B$2:$I$76</definedName>
    <definedName name="_xlnm.Print_Area" localSheetId="0">'EXC-350PC'!$B$2:$I$81</definedName>
    <definedName name="_xlnm.Print_Area" localSheetId="4">'TRAC D-155 82071'!$A$2:$I$68</definedName>
    <definedName name="_xlnm.Print_Area" localSheetId="6">'TRAC D-komatsu'!$A$2:$I$45</definedName>
    <definedName name="_xlnm.Print_Area" localSheetId="5">'TRAC-D155 82081'!$B$2:$I$85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8" l="1"/>
  <c r="H55" i="18"/>
  <c r="I43" i="19"/>
  <c r="H54" i="17"/>
  <c r="D55" i="26" l="1"/>
  <c r="D49" i="26"/>
  <c r="BU33" i="26"/>
  <c r="BU25" i="26"/>
  <c r="BU14" i="26"/>
  <c r="D53" i="26"/>
  <c r="BT32" i="26"/>
  <c r="I65" i="12"/>
  <c r="C65" i="12"/>
  <c r="G65" i="12"/>
  <c r="I64" i="12"/>
  <c r="H79" i="22" l="1"/>
  <c r="H78" i="22"/>
  <c r="H74" i="17"/>
  <c r="I66" i="19"/>
  <c r="BR32" i="26"/>
  <c r="H73" i="17"/>
  <c r="I65" i="19"/>
  <c r="BR36" i="26"/>
  <c r="I62" i="12"/>
  <c r="H77" i="22"/>
  <c r="C77" i="22"/>
  <c r="G77" i="22"/>
  <c r="G75" i="22"/>
  <c r="BP32" i="26"/>
  <c r="BP31" i="26" l="1"/>
  <c r="BP33" i="26" s="1"/>
  <c r="BQ31" i="26"/>
  <c r="BR31" i="26"/>
  <c r="BS31" i="26"/>
  <c r="BT31" i="26"/>
  <c r="BQ32" i="26"/>
  <c r="BS32" i="26"/>
  <c r="BO36" i="26"/>
  <c r="BP36" i="26"/>
  <c r="H83" i="18"/>
  <c r="H84" i="18"/>
  <c r="I64" i="19"/>
  <c r="H72" i="17"/>
  <c r="BP22" i="26"/>
  <c r="BQ22" i="26"/>
  <c r="BR22" i="26"/>
  <c r="BS22" i="26"/>
  <c r="BT22" i="26"/>
  <c r="BP20" i="26"/>
  <c r="BQ20" i="26"/>
  <c r="BR20" i="26"/>
  <c r="BS20" i="26"/>
  <c r="BT20" i="26"/>
  <c r="BO23" i="26"/>
  <c r="BP23" i="26"/>
  <c r="BQ23" i="26"/>
  <c r="BR23" i="26"/>
  <c r="BS23" i="26"/>
  <c r="BT23" i="26"/>
  <c r="H82" i="18"/>
  <c r="H71" i="17"/>
  <c r="I63" i="19"/>
  <c r="BQ25" i="26" l="1"/>
  <c r="BR25" i="26"/>
  <c r="BT25" i="26"/>
  <c r="BP25" i="26"/>
  <c r="BP35" i="26" s="1"/>
  <c r="BS25" i="26"/>
  <c r="BS33" i="26"/>
  <c r="BR33" i="26"/>
  <c r="BQ33" i="26"/>
  <c r="BT33" i="26"/>
  <c r="H70" i="17"/>
  <c r="I62" i="19"/>
  <c r="H81" i="18"/>
  <c r="BQ35" i="26" l="1"/>
  <c r="BR35" i="26"/>
  <c r="BT35" i="26"/>
  <c r="BS35" i="26"/>
  <c r="I61" i="19"/>
  <c r="H69" i="17"/>
  <c r="H80" i="18"/>
  <c r="H73" i="22"/>
  <c r="G61" i="12"/>
  <c r="C61" i="12"/>
  <c r="I60" i="12"/>
  <c r="BM36" i="26"/>
  <c r="BM23" i="26"/>
  <c r="BN23" i="26"/>
  <c r="I61" i="12" l="1"/>
  <c r="I60" i="19"/>
  <c r="BL36" i="26" l="1"/>
  <c r="H72" i="22"/>
  <c r="BJ23" i="26"/>
  <c r="BK23" i="26"/>
  <c r="BL23" i="26"/>
  <c r="BI23" i="26"/>
  <c r="BK22" i="26"/>
  <c r="BL22" i="26"/>
  <c r="BJ22" i="26"/>
  <c r="H68" i="17"/>
  <c r="H79" i="18"/>
  <c r="C68" i="22" l="1"/>
  <c r="G68" i="22"/>
  <c r="H68" i="22" s="1"/>
  <c r="BJ32" i="26"/>
  <c r="BJ36" i="26"/>
  <c r="H71" i="22"/>
  <c r="H70" i="22"/>
  <c r="G67" i="17"/>
  <c r="C67" i="17"/>
  <c r="G78" i="18"/>
  <c r="H78" i="18" s="1"/>
  <c r="C78" i="18"/>
  <c r="H77" i="18"/>
  <c r="G59" i="19"/>
  <c r="C59" i="19"/>
  <c r="H67" i="17" l="1"/>
  <c r="I59" i="19"/>
  <c r="BH36" i="26" l="1"/>
  <c r="BI31" i="26"/>
  <c r="BJ31" i="26"/>
  <c r="BJ33" i="26" s="1"/>
  <c r="BK31" i="26"/>
  <c r="BL31" i="26"/>
  <c r="BM31" i="26"/>
  <c r="BN31" i="26"/>
  <c r="BO31" i="26"/>
  <c r="BI32" i="26"/>
  <c r="BK32" i="26"/>
  <c r="BL32" i="26"/>
  <c r="BM32" i="26"/>
  <c r="BN32" i="26"/>
  <c r="BO32" i="26"/>
  <c r="BI22" i="26"/>
  <c r="BM22" i="26"/>
  <c r="BN22" i="26"/>
  <c r="BO22" i="26"/>
  <c r="BI20" i="26"/>
  <c r="BJ20" i="26"/>
  <c r="BK20" i="26"/>
  <c r="BL20" i="26"/>
  <c r="BL25" i="26" s="1"/>
  <c r="BM20" i="26"/>
  <c r="BN20" i="26"/>
  <c r="BO20" i="26"/>
  <c r="BO25" i="26" l="1"/>
  <c r="BN33" i="26"/>
  <c r="BO33" i="26"/>
  <c r="BK33" i="26"/>
  <c r="BM33" i="26"/>
  <c r="BI33" i="26"/>
  <c r="BL33" i="26"/>
  <c r="BL35" i="26" s="1"/>
  <c r="BI25" i="26"/>
  <c r="BK25" i="26"/>
  <c r="BM25" i="26"/>
  <c r="BN25" i="26"/>
  <c r="BJ25" i="26"/>
  <c r="BJ35" i="26" s="1"/>
  <c r="C75" i="18"/>
  <c r="G75" i="18"/>
  <c r="H74" i="18"/>
  <c r="I56" i="19"/>
  <c r="BO35" i="26" l="1"/>
  <c r="BN35" i="26"/>
  <c r="BM35" i="26"/>
  <c r="BI35" i="26"/>
  <c r="BK35" i="26"/>
  <c r="H75" i="18"/>
  <c r="G55" i="19" l="1"/>
  <c r="C55" i="19"/>
  <c r="I55" i="19"/>
  <c r="I54" i="19"/>
  <c r="BG36" i="26"/>
  <c r="H69" i="22" l="1"/>
  <c r="I56" i="12"/>
  <c r="BF36" i="26" l="1"/>
  <c r="H72" i="18"/>
  <c r="H64" i="17"/>
  <c r="H71" i="18"/>
  <c r="H62" i="17"/>
  <c r="G69" i="18" l="1"/>
  <c r="H69" i="18" s="1"/>
  <c r="BE36" i="26"/>
  <c r="H70" i="18"/>
  <c r="F51" i="18"/>
  <c r="D51" i="18"/>
  <c r="D55" i="18"/>
  <c r="F56" i="18"/>
  <c r="D56" i="18"/>
  <c r="F59" i="18"/>
  <c r="F61" i="18"/>
  <c r="F63" i="18"/>
  <c r="F65" i="18"/>
  <c r="D60" i="17"/>
  <c r="F60" i="17" s="1"/>
  <c r="D59" i="17"/>
  <c r="D58" i="17"/>
  <c r="D57" i="17"/>
  <c r="D56" i="17"/>
  <c r="F56" i="17" s="1"/>
  <c r="D54" i="17"/>
  <c r="F54" i="17" s="1"/>
  <c r="D53" i="17"/>
  <c r="F53" i="17" s="1"/>
  <c r="D52" i="17"/>
  <c r="F52" i="17" s="1"/>
  <c r="D51" i="17"/>
  <c r="F51" i="17" s="1"/>
  <c r="D50" i="17"/>
  <c r="F50" i="17" s="1"/>
  <c r="D49" i="17"/>
  <c r="F49" i="17" s="1"/>
  <c r="D48" i="17"/>
  <c r="F48" i="17" s="1"/>
  <c r="F45" i="17"/>
  <c r="D45" i="17"/>
  <c r="F44" i="17"/>
  <c r="F43" i="17"/>
  <c r="F61" i="17"/>
  <c r="F59" i="17"/>
  <c r="F58" i="17"/>
  <c r="F57" i="17"/>
  <c r="F47" i="17"/>
  <c r="F46" i="17"/>
  <c r="F42" i="17"/>
  <c r="F34" i="17"/>
  <c r="F36" i="17"/>
  <c r="F37" i="17"/>
  <c r="F38" i="17"/>
  <c r="F39" i="17"/>
  <c r="F40" i="17"/>
  <c r="F41" i="18"/>
  <c r="F39" i="18"/>
  <c r="F36" i="18"/>
  <c r="F32" i="18"/>
  <c r="F34" i="18"/>
  <c r="F35" i="18"/>
  <c r="F37" i="18"/>
  <c r="F38" i="18"/>
  <c r="F40" i="18"/>
  <c r="F43" i="18"/>
  <c r="F44" i="18"/>
  <c r="F45" i="18"/>
  <c r="F46" i="18"/>
  <c r="F47" i="18"/>
  <c r="F48" i="18"/>
  <c r="F49" i="18"/>
  <c r="F53" i="18"/>
  <c r="F57" i="18"/>
  <c r="F60" i="18"/>
  <c r="F62" i="18"/>
  <c r="F64" i="18"/>
  <c r="F66" i="18"/>
  <c r="F68" i="18"/>
  <c r="F69" i="18"/>
  <c r="F70" i="18"/>
  <c r="F55" i="18"/>
  <c r="D52" i="18"/>
  <c r="F52" i="18" s="1"/>
  <c r="D50" i="18"/>
  <c r="F50" i="18" s="1"/>
  <c r="H67" i="22"/>
  <c r="I55" i="12"/>
  <c r="H60" i="17" l="1"/>
  <c r="H61" i="17"/>
  <c r="I50" i="19"/>
  <c r="H68" i="18"/>
  <c r="BC36" i="26"/>
  <c r="I49" i="19"/>
  <c r="G67" i="18"/>
  <c r="C67" i="18"/>
  <c r="I54" i="12"/>
  <c r="BE32" i="26"/>
  <c r="BF32" i="26"/>
  <c r="BG32" i="26"/>
  <c r="BH32" i="26"/>
  <c r="BB32" i="26"/>
  <c r="BC32" i="26"/>
  <c r="BD32" i="26"/>
  <c r="BC31" i="26"/>
  <c r="BD31" i="26"/>
  <c r="BE31" i="26"/>
  <c r="BF31" i="26"/>
  <c r="BG31" i="26"/>
  <c r="BH31" i="26"/>
  <c r="BG20" i="26"/>
  <c r="BH20" i="26"/>
  <c r="BC23" i="26"/>
  <c r="BD23" i="26"/>
  <c r="BE23" i="26"/>
  <c r="BF23" i="26"/>
  <c r="BG23" i="26"/>
  <c r="BH23" i="26"/>
  <c r="BC22" i="26"/>
  <c r="BD22" i="26"/>
  <c r="BE22" i="26"/>
  <c r="BF22" i="26"/>
  <c r="BG22" i="26"/>
  <c r="BH22" i="26"/>
  <c r="BB20" i="26"/>
  <c r="BC20" i="26"/>
  <c r="BD20" i="26"/>
  <c r="BE20" i="26"/>
  <c r="BF20" i="26"/>
  <c r="BH25" i="26" l="1"/>
  <c r="H67" i="18"/>
  <c r="BG25" i="26"/>
  <c r="BE25" i="26"/>
  <c r="BF25" i="26"/>
  <c r="BE33" i="26"/>
  <c r="BD33" i="26"/>
  <c r="BG33" i="26"/>
  <c r="BH33" i="26"/>
  <c r="BC33" i="26"/>
  <c r="BF33" i="26"/>
  <c r="BD25" i="26"/>
  <c r="BC25" i="26"/>
  <c r="BG35" i="26" l="1"/>
  <c r="BH35" i="26"/>
  <c r="BE35" i="26"/>
  <c r="BF35" i="26"/>
  <c r="BC35" i="26"/>
  <c r="BC37" i="26" s="1"/>
  <c r="BD35" i="26"/>
  <c r="BD37" i="26" s="1"/>
  <c r="I53" i="12"/>
  <c r="BB23" i="26"/>
  <c r="I48" i="19"/>
  <c r="H59" i="17"/>
  <c r="BE37" i="26" l="1"/>
  <c r="BF37" i="26" s="1"/>
  <c r="BG37" i="26" s="1"/>
  <c r="BH37" i="26" s="1"/>
  <c r="BI37" i="26" s="1"/>
  <c r="BJ37" i="26" s="1"/>
  <c r="BK37" i="26" s="1"/>
  <c r="BL37" i="26" s="1"/>
  <c r="BM37" i="26" s="1"/>
  <c r="BN37" i="26" s="1"/>
  <c r="BO37" i="26" s="1"/>
  <c r="BP37" i="26" s="1"/>
  <c r="BQ37" i="26" s="1"/>
  <c r="BR37" i="26" s="1"/>
  <c r="BS37" i="26" s="1"/>
  <c r="BT37" i="26" s="1"/>
  <c r="BA23" i="26"/>
  <c r="H58" i="17"/>
  <c r="H62" i="18"/>
  <c r="I47" i="19"/>
  <c r="BA36" i="26"/>
  <c r="AZ36" i="26"/>
  <c r="BA32" i="26"/>
  <c r="G50" i="12" l="1"/>
  <c r="C50" i="12"/>
  <c r="C47" i="12"/>
  <c r="H62" i="22"/>
  <c r="H63" i="22"/>
  <c r="H64" i="22"/>
  <c r="G44" i="19"/>
  <c r="C44" i="19"/>
  <c r="H55" i="17"/>
  <c r="G55" i="17"/>
  <c r="C55" i="17"/>
  <c r="I52" i="12"/>
  <c r="H60" i="18"/>
  <c r="G53" i="18"/>
  <c r="H53" i="18" s="1"/>
  <c r="G33" i="18"/>
  <c r="C33" i="18"/>
  <c r="G58" i="18"/>
  <c r="H58" i="18" s="1"/>
  <c r="C58" i="18"/>
  <c r="C53" i="18"/>
  <c r="H49" i="18"/>
  <c r="I51" i="12"/>
  <c r="H56" i="22"/>
  <c r="H57" i="22"/>
  <c r="H59" i="22"/>
  <c r="H61" i="22"/>
  <c r="H57" i="17"/>
  <c r="H56" i="17"/>
  <c r="I45" i="19"/>
  <c r="I46" i="19"/>
  <c r="AZ23" i="26"/>
  <c r="AZ22" i="26"/>
  <c r="AZ32" i="26"/>
  <c r="AZ31" i="26"/>
  <c r="AY20" i="26"/>
  <c r="AZ20" i="26"/>
  <c r="BA20" i="26"/>
  <c r="AY36" i="26"/>
  <c r="I44" i="19" l="1"/>
  <c r="H33" i="18"/>
  <c r="AZ33" i="26"/>
  <c r="AZ25" i="26"/>
  <c r="I50" i="12"/>
  <c r="AX36" i="26"/>
  <c r="AW36" i="26"/>
  <c r="AV32" i="26"/>
  <c r="AW32" i="26"/>
  <c r="AX32" i="26"/>
  <c r="AY32" i="26"/>
  <c r="AV31" i="26"/>
  <c r="AW31" i="26"/>
  <c r="AX31" i="26"/>
  <c r="AY31" i="26"/>
  <c r="AV22" i="26"/>
  <c r="AW22" i="26"/>
  <c r="AX22" i="26"/>
  <c r="AY22" i="26"/>
  <c r="AV23" i="26"/>
  <c r="AW23" i="26"/>
  <c r="AX23" i="26"/>
  <c r="AY23" i="26"/>
  <c r="AZ35" i="26" l="1"/>
  <c r="AW33" i="26"/>
  <c r="AY33" i="26"/>
  <c r="AY25" i="26"/>
  <c r="AV33" i="26"/>
  <c r="AX33" i="26"/>
  <c r="AU36" i="26"/>
  <c r="AY35" i="26" l="1"/>
  <c r="AT36" i="26"/>
  <c r="AQ32" i="26"/>
  <c r="AR32" i="26"/>
  <c r="AS32" i="26"/>
  <c r="AT32" i="26"/>
  <c r="AU32" i="26"/>
  <c r="AT23" i="26"/>
  <c r="AU23" i="26"/>
  <c r="AT22" i="26"/>
  <c r="AU22" i="26"/>
  <c r="H48" i="18" l="1"/>
  <c r="AR36" i="26"/>
  <c r="G47" i="18" l="1"/>
  <c r="C47" i="18"/>
  <c r="H47" i="18" l="1"/>
  <c r="AP36" i="26"/>
  <c r="G44" i="12"/>
  <c r="G47" i="12" s="1"/>
  <c r="I47" i="12" s="1"/>
  <c r="AP20" i="26"/>
  <c r="AQ20" i="26"/>
  <c r="AR20" i="26"/>
  <c r="AS20" i="26"/>
  <c r="AT20" i="26"/>
  <c r="AT25" i="26" s="1"/>
  <c r="AU20" i="26"/>
  <c r="AU25" i="26" s="1"/>
  <c r="AV20" i="26"/>
  <c r="AV25" i="26" s="1"/>
  <c r="AV35" i="26" s="1"/>
  <c r="AW20" i="26"/>
  <c r="AW25" i="26" s="1"/>
  <c r="AW35" i="26" s="1"/>
  <c r="AX20" i="26"/>
  <c r="AX25" i="26" s="1"/>
  <c r="AX35" i="26" s="1"/>
  <c r="AL20" i="26"/>
  <c r="AM20" i="26"/>
  <c r="AN20" i="26"/>
  <c r="AO20" i="26"/>
  <c r="AE20" i="26"/>
  <c r="AF20" i="26"/>
  <c r="AG20" i="26"/>
  <c r="AH20" i="26"/>
  <c r="AI20" i="26"/>
  <c r="AJ20" i="26"/>
  <c r="AK20" i="26"/>
  <c r="AD20" i="26"/>
  <c r="AO23" i="26"/>
  <c r="AP23" i="26"/>
  <c r="AQ23" i="26"/>
  <c r="AR23" i="26"/>
  <c r="AS23" i="26"/>
  <c r="AI23" i="26"/>
  <c r="AJ23" i="26"/>
  <c r="AK23" i="26"/>
  <c r="AL23" i="26"/>
  <c r="AM23" i="26"/>
  <c r="AN23" i="26"/>
  <c r="AH23" i="26"/>
  <c r="AN32" i="26"/>
  <c r="AO32" i="26"/>
  <c r="AP32" i="26"/>
  <c r="AK32" i="26"/>
  <c r="AL32" i="26"/>
  <c r="AJ32" i="26"/>
  <c r="H53" i="22"/>
  <c r="AB12" i="26"/>
  <c r="AC12" i="26"/>
  <c r="G48" i="22"/>
  <c r="C48" i="22"/>
  <c r="H43" i="22"/>
  <c r="G52" i="22"/>
  <c r="H46" i="22"/>
  <c r="H47" i="22"/>
  <c r="C52" i="22"/>
  <c r="AH13" i="26"/>
  <c r="AI13" i="26"/>
  <c r="AJ13" i="26"/>
  <c r="AK13" i="26"/>
  <c r="AM13" i="26"/>
  <c r="AN13" i="26"/>
  <c r="AO13" i="26"/>
  <c r="AP13" i="26"/>
  <c r="AQ13" i="26"/>
  <c r="AR13" i="26"/>
  <c r="AS13" i="26"/>
  <c r="AQ21" i="26"/>
  <c r="AR21" i="26"/>
  <c r="AS21" i="26"/>
  <c r="AL22" i="26"/>
  <c r="AM22" i="26"/>
  <c r="AN22" i="26"/>
  <c r="AO22" i="26"/>
  <c r="AP22" i="26"/>
  <c r="AQ22" i="26"/>
  <c r="AR22" i="26"/>
  <c r="AS22" i="26"/>
  <c r="AN31" i="26"/>
  <c r="AO31" i="26"/>
  <c r="AP31" i="26"/>
  <c r="AQ31" i="26"/>
  <c r="AQ33" i="26" s="1"/>
  <c r="AR31" i="26"/>
  <c r="AR33" i="26" s="1"/>
  <c r="AS31" i="26"/>
  <c r="AS33" i="26" s="1"/>
  <c r="AT31" i="26"/>
  <c r="AT33" i="26" s="1"/>
  <c r="AU31" i="26"/>
  <c r="AU33" i="26" s="1"/>
  <c r="BU23" i="26" l="1"/>
  <c r="BU20" i="26"/>
  <c r="AM32" i="26"/>
  <c r="BU32" i="26" s="1"/>
  <c r="AU35" i="26"/>
  <c r="AN25" i="26"/>
  <c r="AM25" i="26"/>
  <c r="AL25" i="26"/>
  <c r="AP25" i="26"/>
  <c r="AS25" i="26"/>
  <c r="AO25" i="26"/>
  <c r="AR25" i="26"/>
  <c r="AQ25" i="26"/>
  <c r="AP33" i="26"/>
  <c r="AN33" i="26"/>
  <c r="AO33" i="26"/>
  <c r="H48" i="22"/>
  <c r="H52" i="22"/>
  <c r="AG21" i="26"/>
  <c r="AH21" i="26"/>
  <c r="AK31" i="26"/>
  <c r="AK33" i="26" s="1"/>
  <c r="AL31" i="26"/>
  <c r="AL33" i="26" s="1"/>
  <c r="AM31" i="26"/>
  <c r="AH31" i="26"/>
  <c r="AH33" i="26" s="1"/>
  <c r="AI31" i="26"/>
  <c r="AI33" i="26" s="1"/>
  <c r="AJ31" i="26"/>
  <c r="AJ33" i="26" s="1"/>
  <c r="AM33" i="26" l="1"/>
  <c r="G42" i="18"/>
  <c r="C42" i="18"/>
  <c r="P35" i="26"/>
  <c r="H28" i="22"/>
  <c r="H26" i="22"/>
  <c r="H40" i="22"/>
  <c r="G37" i="12"/>
  <c r="C37" i="12"/>
  <c r="C40" i="12"/>
  <c r="G40" i="12"/>
  <c r="I40" i="12" l="1"/>
  <c r="I37" i="12"/>
  <c r="H42" i="18"/>
  <c r="AF31" i="26"/>
  <c r="AF33" i="26" s="1"/>
  <c r="AC31" i="26"/>
  <c r="AD31" i="26"/>
  <c r="AD33" i="26" s="1"/>
  <c r="AE31" i="26"/>
  <c r="AE33" i="26" s="1"/>
  <c r="AG31" i="26"/>
  <c r="AG33" i="26" s="1"/>
  <c r="H37" i="18"/>
  <c r="H32" i="22" l="1"/>
  <c r="W36" i="26"/>
  <c r="S36" i="26"/>
  <c r="AA36" i="26" l="1"/>
  <c r="AB36" i="26"/>
  <c r="AC36" i="26"/>
  <c r="AD36" i="26"/>
  <c r="Z36" i="26"/>
  <c r="H35" i="18"/>
  <c r="C41" i="17"/>
  <c r="G41" i="17"/>
  <c r="H41" i="17"/>
  <c r="H39" i="17"/>
  <c r="F42" i="22"/>
  <c r="F35" i="22"/>
  <c r="AC57" i="26" l="1"/>
  <c r="H37" i="17" l="1"/>
  <c r="C28" i="19" l="1"/>
  <c r="G28" i="19"/>
  <c r="I28" i="19" s="1"/>
  <c r="D31" i="18"/>
  <c r="E31" i="18" s="1"/>
  <c r="F31" i="18" s="1"/>
  <c r="F30" i="18"/>
  <c r="D30" i="18"/>
  <c r="D36" i="27"/>
  <c r="D35" i="27"/>
  <c r="F35" i="27" s="1"/>
  <c r="I38" i="27"/>
  <c r="I39" i="27"/>
  <c r="F39" i="27"/>
  <c r="D39" i="27"/>
  <c r="D38" i="27"/>
  <c r="AA22" i="26"/>
  <c r="AB22" i="26"/>
  <c r="AC22" i="26"/>
  <c r="AD22" i="26"/>
  <c r="AE22" i="26"/>
  <c r="AF22" i="26"/>
  <c r="AG22" i="26"/>
  <c r="AH22" i="26"/>
  <c r="AH25" i="26" s="1"/>
  <c r="AI22" i="26"/>
  <c r="AI25" i="26" s="1"/>
  <c r="AJ22" i="26"/>
  <c r="AJ25" i="26" s="1"/>
  <c r="AK22" i="26"/>
  <c r="AK25" i="26" s="1"/>
  <c r="AA12" i="26"/>
  <c r="O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D14" i="26" s="1"/>
  <c r="AE13" i="26"/>
  <c r="AF13" i="26"/>
  <c r="AG13" i="26"/>
  <c r="N13" i="26"/>
  <c r="F28" i="19"/>
  <c r="D25" i="19"/>
  <c r="F25" i="19" s="1"/>
  <c r="D24" i="19"/>
  <c r="F32" i="12"/>
  <c r="D31" i="12"/>
  <c r="E31" i="12"/>
  <c r="D33" i="12"/>
  <c r="D29" i="18"/>
  <c r="F29" i="18" s="1"/>
  <c r="D28" i="18"/>
  <c r="F28" i="18" s="1"/>
  <c r="F37" i="27"/>
  <c r="F38" i="27"/>
  <c r="D37" i="27"/>
  <c r="F34" i="27"/>
  <c r="F36" i="27"/>
  <c r="D34" i="27"/>
  <c r="F32" i="27"/>
  <c r="D32" i="27"/>
  <c r="F31" i="27"/>
  <c r="D31" i="27"/>
  <c r="F30" i="27"/>
  <c r="D30" i="27"/>
  <c r="F29" i="27"/>
  <c r="D29" i="27"/>
  <c r="D28" i="27"/>
  <c r="F28" i="27" s="1"/>
  <c r="F24" i="27"/>
  <c r="F25" i="27"/>
  <c r="F26" i="27"/>
  <c r="F27" i="27"/>
  <c r="D27" i="27"/>
  <c r="D26" i="27"/>
  <c r="D25" i="18"/>
  <c r="E25" i="18" s="1"/>
  <c r="D27" i="18" s="1"/>
  <c r="F27" i="18" s="1"/>
  <c r="F24" i="18"/>
  <c r="F26" i="18"/>
  <c r="D31" i="19"/>
  <c r="F31" i="19" s="1"/>
  <c r="D35" i="17"/>
  <c r="F35" i="17" s="1"/>
  <c r="H32" i="17"/>
  <c r="H35" i="17"/>
  <c r="I22" i="19"/>
  <c r="D30" i="19"/>
  <c r="D29" i="19"/>
  <c r="F29" i="19" s="1"/>
  <c r="D27" i="19"/>
  <c r="F27" i="19" s="1"/>
  <c r="D26" i="19"/>
  <c r="F26" i="19" s="1"/>
  <c r="D23" i="19"/>
  <c r="C21" i="19"/>
  <c r="G21" i="19"/>
  <c r="D36" i="22"/>
  <c r="F36" i="22" s="1"/>
  <c r="D34" i="22"/>
  <c r="D33" i="22"/>
  <c r="F33" i="22" s="1"/>
  <c r="D32" i="22"/>
  <c r="F32" i="22" s="1"/>
  <c r="D31" i="22"/>
  <c r="F31" i="22" s="1"/>
  <c r="H31" i="22"/>
  <c r="D30" i="22"/>
  <c r="F30" i="22" s="1"/>
  <c r="D29" i="22"/>
  <c r="F29" i="22" s="1"/>
  <c r="D28" i="22"/>
  <c r="F28" i="22" s="1"/>
  <c r="U31" i="26"/>
  <c r="F37" i="22"/>
  <c r="F25" i="22"/>
  <c r="F38" i="22"/>
  <c r="F39" i="22"/>
  <c r="W22" i="26"/>
  <c r="X22" i="26"/>
  <c r="Y22" i="26"/>
  <c r="Z22" i="26"/>
  <c r="D33" i="17"/>
  <c r="F33" i="17" s="1"/>
  <c r="D32" i="17"/>
  <c r="F32" i="17" s="1"/>
  <c r="D31" i="17"/>
  <c r="F31" i="17" s="1"/>
  <c r="D29" i="17"/>
  <c r="F29" i="17" s="1"/>
  <c r="F25" i="18" l="1"/>
  <c r="I21" i="19"/>
  <c r="E30" i="19"/>
  <c r="F30" i="19" s="1"/>
  <c r="F31" i="12"/>
  <c r="J81" i="18" l="1"/>
  <c r="I31" i="12"/>
  <c r="I35" i="27"/>
  <c r="W31" i="26"/>
  <c r="W33" i="26" s="1"/>
  <c r="X31" i="26"/>
  <c r="X33" i="26" s="1"/>
  <c r="Y31" i="26"/>
  <c r="Y33" i="26" s="1"/>
  <c r="Z31" i="26"/>
  <c r="Z33" i="26" s="1"/>
  <c r="AA31" i="26"/>
  <c r="AA33" i="26" s="1"/>
  <c r="AB31" i="26"/>
  <c r="AB33" i="26" s="1"/>
  <c r="AC33" i="26"/>
  <c r="W24" i="26"/>
  <c r="X24" i="26"/>
  <c r="Y24" i="26"/>
  <c r="Z24" i="26"/>
  <c r="AA24" i="26"/>
  <c r="AB24" i="26"/>
  <c r="AC24" i="26"/>
  <c r="AD24" i="26"/>
  <c r="AE24" i="26"/>
  <c r="AF24" i="26"/>
  <c r="AG24" i="26"/>
  <c r="AG25" i="26" s="1"/>
  <c r="W21" i="26"/>
  <c r="X21" i="26"/>
  <c r="Y21" i="26"/>
  <c r="Z21" i="26"/>
  <c r="AA21" i="26"/>
  <c r="AB21" i="26"/>
  <c r="AC21" i="26"/>
  <c r="AD21" i="26"/>
  <c r="AE21" i="26"/>
  <c r="AF21" i="26"/>
  <c r="X12" i="26"/>
  <c r="Y12" i="26"/>
  <c r="Z12" i="26"/>
  <c r="W12" i="26"/>
  <c r="K58" i="12"/>
  <c r="W11" i="26"/>
  <c r="X11" i="26"/>
  <c r="Y11" i="26"/>
  <c r="W10" i="26"/>
  <c r="X10" i="26"/>
  <c r="Y10" i="26"/>
  <c r="Z10" i="26"/>
  <c r="AA10" i="26"/>
  <c r="AB10" i="26"/>
  <c r="AC10" i="26"/>
  <c r="AK14" i="26"/>
  <c r="AK35" i="26" s="1"/>
  <c r="AL14" i="26"/>
  <c r="AL35" i="26" s="1"/>
  <c r="AM14" i="26"/>
  <c r="AM35" i="26" s="1"/>
  <c r="AN14" i="26"/>
  <c r="AN35" i="26" s="1"/>
  <c r="AO14" i="26"/>
  <c r="AO35" i="26" s="1"/>
  <c r="AP14" i="26"/>
  <c r="AP35" i="26" s="1"/>
  <c r="AQ14" i="26"/>
  <c r="AQ35" i="26" s="1"/>
  <c r="AR14" i="26"/>
  <c r="AR35" i="26" s="1"/>
  <c r="AS14" i="26"/>
  <c r="AS35" i="26" s="1"/>
  <c r="AT14" i="26"/>
  <c r="AT35" i="26" s="1"/>
  <c r="AD25" i="26" l="1"/>
  <c r="AD35" i="26" s="1"/>
  <c r="AE25" i="26"/>
  <c r="AF25" i="26"/>
  <c r="AE14" i="26"/>
  <c r="AA14" i="26"/>
  <c r="AH14" i="26"/>
  <c r="AH35" i="26" s="1"/>
  <c r="Z14" i="26"/>
  <c r="AJ14" i="26"/>
  <c r="AJ35" i="26" s="1"/>
  <c r="AF14" i="26"/>
  <c r="AB14" i="26"/>
  <c r="X14" i="26"/>
  <c r="AI14" i="26"/>
  <c r="AI35" i="26" s="1"/>
  <c r="W14" i="26"/>
  <c r="AG14" i="26"/>
  <c r="AC14" i="26"/>
  <c r="Y14" i="26"/>
  <c r="Z25" i="26"/>
  <c r="Y25" i="26"/>
  <c r="AC25" i="26"/>
  <c r="AB25" i="26"/>
  <c r="X25" i="26"/>
  <c r="AA25" i="26"/>
  <c r="W25" i="26"/>
  <c r="D25" i="27"/>
  <c r="I34" i="27"/>
  <c r="C30" i="12"/>
  <c r="I30" i="12" s="1"/>
  <c r="G30" i="12"/>
  <c r="E25" i="12"/>
  <c r="F25" i="12" s="1"/>
  <c r="L28" i="12"/>
  <c r="AA35" i="26" l="1"/>
  <c r="AA37" i="26" s="1"/>
  <c r="AF35" i="26"/>
  <c r="AG35" i="26"/>
  <c r="AC35" i="26"/>
  <c r="W35" i="26"/>
  <c r="Z35" i="26"/>
  <c r="Z37" i="26" s="1"/>
  <c r="AB35" i="26"/>
  <c r="AB37" i="26" s="1"/>
  <c r="AE35" i="26"/>
  <c r="D26" i="12"/>
  <c r="E26" i="12" s="1"/>
  <c r="D27" i="12" s="1"/>
  <c r="E27" i="12" s="1"/>
  <c r="X35" i="26"/>
  <c r="Y35" i="26"/>
  <c r="U36" i="26"/>
  <c r="G30" i="17"/>
  <c r="C30" i="17"/>
  <c r="G33" i="27"/>
  <c r="I33" i="27" s="1"/>
  <c r="C33" i="27"/>
  <c r="C28" i="12"/>
  <c r="F28" i="17"/>
  <c r="T36" i="26"/>
  <c r="F26" i="12" l="1"/>
  <c r="AC37" i="26"/>
  <c r="AD37" i="26" s="1"/>
  <c r="AE37" i="26" s="1"/>
  <c r="AF37" i="26" s="1"/>
  <c r="F27" i="12"/>
  <c r="D28" i="12"/>
  <c r="E28" i="12" s="1"/>
  <c r="H30" i="17"/>
  <c r="I13" i="26"/>
  <c r="AG37" i="26" l="1"/>
  <c r="AH37" i="26" s="1"/>
  <c r="AI37" i="26" s="1"/>
  <c r="AJ37" i="26" s="1"/>
  <c r="AK37" i="26" s="1"/>
  <c r="AL37" i="26" s="1"/>
  <c r="AM37" i="26" s="1"/>
  <c r="AN37" i="26" s="1"/>
  <c r="AO37" i="26" s="1"/>
  <c r="AP37" i="26" s="1"/>
  <c r="AQ37" i="26" s="1"/>
  <c r="AR37" i="26" s="1"/>
  <c r="AS37" i="26" s="1"/>
  <c r="AT37" i="26" s="1"/>
  <c r="AU37" i="26" s="1"/>
  <c r="AV37" i="26" s="1"/>
  <c r="AW37" i="26" s="1"/>
  <c r="AX37" i="26" s="1"/>
  <c r="AY37" i="26" s="1"/>
  <c r="AZ37" i="26" s="1"/>
  <c r="D29" i="12"/>
  <c r="F29" i="12" s="1"/>
  <c r="F28" i="12"/>
  <c r="C25" i="22"/>
  <c r="H19" i="22"/>
  <c r="G18" i="22"/>
  <c r="G82" i="22" s="1"/>
  <c r="R36" i="26"/>
  <c r="K32" i="22"/>
  <c r="J79" i="22"/>
  <c r="D27" i="22"/>
  <c r="F27" i="22" s="1"/>
  <c r="D26" i="22"/>
  <c r="F26" i="22" s="1"/>
  <c r="D24" i="22"/>
  <c r="F24" i="22" s="1"/>
  <c r="G22" i="22"/>
  <c r="G25" i="22" s="1"/>
  <c r="D23" i="22"/>
  <c r="F23" i="22" s="1"/>
  <c r="D22" i="22"/>
  <c r="F22" i="22" s="1"/>
  <c r="D21" i="22"/>
  <c r="D20" i="22"/>
  <c r="F20" i="22" s="1"/>
  <c r="D19" i="22"/>
  <c r="F19" i="22" s="1"/>
  <c r="D17" i="22"/>
  <c r="D16" i="22"/>
  <c r="F16" i="22" s="1"/>
  <c r="F13" i="22"/>
  <c r="F14" i="22"/>
  <c r="F17" i="22"/>
  <c r="F21" i="22"/>
  <c r="D15" i="22"/>
  <c r="F15" i="22" s="1"/>
  <c r="D12" i="22"/>
  <c r="H25" i="22" l="1"/>
  <c r="J77" i="17"/>
  <c r="K65" i="19"/>
  <c r="K29" i="27" l="1"/>
  <c r="O10" i="26" l="1"/>
  <c r="I25" i="27" l="1"/>
  <c r="D27" i="17"/>
  <c r="F27" i="17" s="1"/>
  <c r="D26" i="17"/>
  <c r="F26" i="17" s="1"/>
  <c r="F24" i="19"/>
  <c r="F23" i="19"/>
  <c r="D22" i="19"/>
  <c r="F22" i="19" s="1"/>
  <c r="D20" i="19"/>
  <c r="F20" i="19" s="1"/>
  <c r="G25" i="17"/>
  <c r="D24" i="17" l="1"/>
  <c r="F24" i="17" s="1"/>
  <c r="G24" i="27" l="1"/>
  <c r="I24" i="27" s="1"/>
  <c r="C24" i="27"/>
  <c r="D23" i="27"/>
  <c r="F23" i="27" s="1"/>
  <c r="D22" i="27"/>
  <c r="F22" i="27"/>
  <c r="D23" i="12"/>
  <c r="F23" i="12" s="1"/>
  <c r="D22" i="12"/>
  <c r="F22" i="12" s="1"/>
  <c r="G24" i="18"/>
  <c r="C24" i="18"/>
  <c r="D23" i="18"/>
  <c r="F23" i="18" s="1"/>
  <c r="D22" i="18"/>
  <c r="F22" i="18" s="1"/>
  <c r="D21" i="18"/>
  <c r="F21" i="18" s="1"/>
  <c r="F20" i="18"/>
  <c r="H24" i="18" l="1"/>
  <c r="C24" i="12"/>
  <c r="G24" i="12"/>
  <c r="C25" i="17"/>
  <c r="H25" i="17" s="1"/>
  <c r="I24" i="12" l="1"/>
  <c r="D23" i="17" l="1"/>
  <c r="F23" i="17" s="1"/>
  <c r="D22" i="17"/>
  <c r="F22" i="17" s="1"/>
  <c r="L19" i="19"/>
  <c r="D19" i="19"/>
  <c r="F19" i="19" s="1"/>
  <c r="D18" i="19"/>
  <c r="F18" i="19" s="1"/>
  <c r="D17" i="19"/>
  <c r="F17" i="19" s="1"/>
  <c r="M31" i="26" l="1"/>
  <c r="N31" i="26"/>
  <c r="O31" i="26"/>
  <c r="Q31" i="26"/>
  <c r="R31" i="26"/>
  <c r="S31" i="26"/>
  <c r="T31" i="26"/>
  <c r="V31" i="26"/>
  <c r="BA31" i="26"/>
  <c r="BA33" i="26" s="1"/>
  <c r="BB31" i="26"/>
  <c r="L31" i="26"/>
  <c r="N10" i="26"/>
  <c r="N12" i="26"/>
  <c r="H24" i="26"/>
  <c r="I24" i="26"/>
  <c r="J24" i="26"/>
  <c r="K24" i="26"/>
  <c r="L24" i="26"/>
  <c r="M24" i="26"/>
  <c r="N24" i="26"/>
  <c r="O24" i="26"/>
  <c r="Q24" i="26"/>
  <c r="R24" i="26"/>
  <c r="S24" i="26"/>
  <c r="T24" i="26"/>
  <c r="U24" i="26"/>
  <c r="V24" i="26"/>
  <c r="BA24" i="26"/>
  <c r="BB24" i="26"/>
  <c r="G24" i="26"/>
  <c r="BU31" i="26" l="1"/>
  <c r="BU24" i="26"/>
  <c r="D48" i="26" s="1"/>
  <c r="D21" i="17"/>
  <c r="F21" i="17" s="1"/>
  <c r="F10" i="22"/>
  <c r="C10" i="22"/>
  <c r="C18" i="22" s="1"/>
  <c r="H18" i="22" s="1"/>
  <c r="D11" i="22"/>
  <c r="D20" i="12"/>
  <c r="F20" i="12" s="1"/>
  <c r="D21" i="12"/>
  <c r="F21" i="12" s="1"/>
  <c r="D21" i="27"/>
  <c r="F21" i="27" s="1"/>
  <c r="D20" i="27"/>
  <c r="F20" i="27" s="1"/>
  <c r="D51" i="26" l="1"/>
  <c r="M13" i="26"/>
  <c r="G22" i="26"/>
  <c r="C17" i="18"/>
  <c r="G17" i="18"/>
  <c r="G17" i="17"/>
  <c r="C17" i="17"/>
  <c r="D20" i="17"/>
  <c r="F20" i="17" s="1"/>
  <c r="G13" i="19"/>
  <c r="C13" i="19"/>
  <c r="D16" i="19"/>
  <c r="F16" i="19" s="1"/>
  <c r="D15" i="19"/>
  <c r="F15" i="19" s="1"/>
  <c r="H17" i="17" l="1"/>
  <c r="I13" i="19"/>
  <c r="G18" i="27"/>
  <c r="C18" i="27"/>
  <c r="C17" i="12"/>
  <c r="H17" i="18"/>
  <c r="K20" i="12"/>
  <c r="H18" i="18"/>
  <c r="I18" i="27" l="1"/>
  <c r="D19" i="27"/>
  <c r="F19" i="27" s="1"/>
  <c r="H19" i="18"/>
  <c r="D19" i="18"/>
  <c r="F19" i="18" s="1"/>
  <c r="D19" i="12"/>
  <c r="F19" i="12" s="1"/>
  <c r="D16" i="18"/>
  <c r="D17" i="27"/>
  <c r="F17" i="27" s="1"/>
  <c r="C16" i="27"/>
  <c r="D16" i="27"/>
  <c r="F16" i="27" s="1"/>
  <c r="F16" i="18"/>
  <c r="F18" i="18"/>
  <c r="D18" i="12"/>
  <c r="F18" i="12" s="1"/>
  <c r="F15" i="12"/>
  <c r="F18" i="17"/>
  <c r="J12" i="26" l="1"/>
  <c r="U12" i="26"/>
  <c r="V12" i="26"/>
  <c r="K12" i="26"/>
  <c r="L12" i="26"/>
  <c r="M12" i="26"/>
  <c r="O12" i="26"/>
  <c r="Q12" i="26"/>
  <c r="R12" i="26"/>
  <c r="S12" i="26"/>
  <c r="T12" i="26"/>
  <c r="H12" i="26"/>
  <c r="I12" i="26"/>
  <c r="BB22" i="26"/>
  <c r="BA22" i="26"/>
  <c r="V22" i="26"/>
  <c r="U22" i="26"/>
  <c r="T22" i="26"/>
  <c r="S22" i="26"/>
  <c r="R22" i="26"/>
  <c r="Q22" i="26"/>
  <c r="O22" i="26"/>
  <c r="N22" i="26"/>
  <c r="M22" i="26"/>
  <c r="L22" i="26"/>
  <c r="K22" i="26"/>
  <c r="J22" i="26"/>
  <c r="I22" i="26"/>
  <c r="H22" i="26"/>
  <c r="D22" i="26"/>
  <c r="G12" i="26"/>
  <c r="C33" i="26"/>
  <c r="BB33" i="26"/>
  <c r="C25" i="26"/>
  <c r="BB21" i="26"/>
  <c r="V21" i="26"/>
  <c r="U21" i="26"/>
  <c r="T21" i="26"/>
  <c r="S21" i="26"/>
  <c r="R21" i="26"/>
  <c r="Q21" i="26"/>
  <c r="O21" i="26"/>
  <c r="N21" i="26"/>
  <c r="M21" i="26"/>
  <c r="L21" i="26"/>
  <c r="K21" i="26"/>
  <c r="I21" i="26"/>
  <c r="H21" i="26"/>
  <c r="G21" i="26"/>
  <c r="F21" i="26"/>
  <c r="E21" i="26"/>
  <c r="D21" i="26"/>
  <c r="F13" i="26"/>
  <c r="J13" i="26"/>
  <c r="K13" i="26"/>
  <c r="L13" i="26"/>
  <c r="E13" i="26"/>
  <c r="G19" i="28"/>
  <c r="H18" i="28"/>
  <c r="F18" i="28"/>
  <c r="D19" i="17"/>
  <c r="F19" i="17" s="1"/>
  <c r="G87" i="18"/>
  <c r="D16" i="17"/>
  <c r="F16" i="17" s="1"/>
  <c r="D14" i="19"/>
  <c r="F14" i="19" s="1"/>
  <c r="BU22" i="26" l="1"/>
  <c r="BB25" i="26"/>
  <c r="BA25" i="26"/>
  <c r="BU13" i="26"/>
  <c r="D47" i="26" s="1"/>
  <c r="S33" i="26"/>
  <c r="F33" i="26"/>
  <c r="N33" i="26"/>
  <c r="G33" i="26"/>
  <c r="K33" i="26"/>
  <c r="O33" i="26"/>
  <c r="T33" i="26"/>
  <c r="D33" i="26"/>
  <c r="H33" i="26"/>
  <c r="L33" i="26"/>
  <c r="Q33" i="26"/>
  <c r="U33" i="26"/>
  <c r="E33" i="26"/>
  <c r="I33" i="26"/>
  <c r="M33" i="26"/>
  <c r="R33" i="26"/>
  <c r="V33" i="26"/>
  <c r="I25" i="26"/>
  <c r="V25" i="26"/>
  <c r="N25" i="26"/>
  <c r="G25" i="26"/>
  <c r="T25" i="26"/>
  <c r="E25" i="26"/>
  <c r="M25" i="26"/>
  <c r="R25" i="26"/>
  <c r="F25" i="26"/>
  <c r="S25" i="26"/>
  <c r="K25" i="26"/>
  <c r="O25" i="26"/>
  <c r="H25" i="26"/>
  <c r="L25" i="26"/>
  <c r="Q25" i="26"/>
  <c r="U25" i="26"/>
  <c r="D25" i="26"/>
  <c r="F19" i="28"/>
  <c r="Q35" i="26" l="1"/>
  <c r="Q37" i="26" s="1"/>
  <c r="D15" i="17"/>
  <c r="F15" i="17" s="1"/>
  <c r="F12" i="19"/>
  <c r="K6" i="19"/>
  <c r="G15" i="12" l="1"/>
  <c r="G17" i="12" s="1"/>
  <c r="I17" i="12" s="1"/>
  <c r="D14" i="12"/>
  <c r="F14" i="12" s="1"/>
  <c r="F15" i="18"/>
  <c r="J21" i="26" l="1"/>
  <c r="BU21" i="26" s="1"/>
  <c r="E9" i="19"/>
  <c r="E10" i="19"/>
  <c r="F11" i="19"/>
  <c r="D14" i="17"/>
  <c r="F14" i="17" s="1"/>
  <c r="J33" i="26" l="1"/>
  <c r="J25" i="26"/>
  <c r="D13" i="17"/>
  <c r="F13" i="17" s="1"/>
  <c r="D12" i="17"/>
  <c r="F12" i="17" s="1"/>
  <c r="D14" i="18"/>
  <c r="F14" i="18" s="1"/>
  <c r="D12" i="27"/>
  <c r="F12" i="27" s="1"/>
  <c r="D11" i="27"/>
  <c r="K4" i="12"/>
  <c r="L4" i="12" s="1"/>
  <c r="D13" i="12"/>
  <c r="F13" i="12" s="1"/>
  <c r="D10" i="12"/>
  <c r="F14" i="27" l="1"/>
  <c r="K6" i="27"/>
  <c r="K5" i="27" s="1"/>
  <c r="K6" i="12"/>
  <c r="D11" i="12" l="1"/>
  <c r="F13" i="27"/>
  <c r="D12" i="12" l="1"/>
  <c r="F12" i="12" s="1"/>
  <c r="F11" i="12"/>
  <c r="I11" i="12"/>
  <c r="K7" i="27"/>
  <c r="D12" i="18"/>
  <c r="D13" i="18" s="1"/>
  <c r="F13" i="18" s="1"/>
  <c r="F11" i="27"/>
  <c r="H11" i="27" s="1"/>
  <c r="I11" i="27"/>
  <c r="E55" i="27"/>
  <c r="B55" i="27"/>
  <c r="A55" i="27"/>
  <c r="B51" i="27"/>
  <c r="G46" i="27"/>
  <c r="K12" i="27"/>
  <c r="H10" i="27"/>
  <c r="F10" i="27"/>
  <c r="L7" i="12"/>
  <c r="L8" i="12"/>
  <c r="F12" i="18" l="1"/>
  <c r="C55" i="27"/>
  <c r="D55" i="27" s="1"/>
  <c r="F46" i="27"/>
  <c r="H46" i="27" s="1"/>
  <c r="D11" i="18"/>
  <c r="D11" i="17"/>
  <c r="F11" i="17" s="1"/>
  <c r="F9" i="17"/>
  <c r="D10" i="17"/>
  <c r="F10" i="17" s="1"/>
  <c r="F9" i="19" l="1"/>
  <c r="F56" i="22" l="1"/>
  <c r="E81" i="12" l="1"/>
  <c r="A81" i="12"/>
  <c r="B76" i="12"/>
  <c r="E11" i="26" l="1"/>
  <c r="F11" i="26"/>
  <c r="E12" i="26"/>
  <c r="F12" i="26"/>
  <c r="D12" i="26"/>
  <c r="D11" i="26" l="1"/>
  <c r="R11" i="26"/>
  <c r="S11" i="26"/>
  <c r="T11" i="26"/>
  <c r="U11" i="26"/>
  <c r="V11" i="26"/>
  <c r="Q10" i="26"/>
  <c r="Q14" i="26" s="1"/>
  <c r="R10" i="26"/>
  <c r="S10" i="26"/>
  <c r="T10" i="26"/>
  <c r="U10" i="26"/>
  <c r="V10" i="26"/>
  <c r="F10" i="26"/>
  <c r="G10" i="26"/>
  <c r="G14" i="26" s="1"/>
  <c r="G35" i="26" s="1"/>
  <c r="H10" i="26"/>
  <c r="H14" i="26" s="1"/>
  <c r="H35" i="26" s="1"/>
  <c r="H37" i="26" s="1"/>
  <c r="I10" i="26"/>
  <c r="J10" i="26"/>
  <c r="K10" i="26"/>
  <c r="L10" i="26"/>
  <c r="M10" i="26"/>
  <c r="E10" i="26"/>
  <c r="E14" i="26" s="1"/>
  <c r="D10" i="26"/>
  <c r="G79" i="12"/>
  <c r="G80" i="12" s="1"/>
  <c r="C12" i="26"/>
  <c r="V14" i="26" l="1"/>
  <c r="V35" i="26" s="1"/>
  <c r="T14" i="26"/>
  <c r="T35" i="26" s="1"/>
  <c r="T37" i="26" s="1"/>
  <c r="M14" i="26"/>
  <c r="M35" i="26" s="1"/>
  <c r="M37" i="26" s="1"/>
  <c r="BB14" i="26"/>
  <c r="BB35" i="26" s="1"/>
  <c r="BB37" i="26" s="1"/>
  <c r="R14" i="26"/>
  <c r="I14" i="26"/>
  <c r="I35" i="26" s="1"/>
  <c r="I37" i="26" s="1"/>
  <c r="U14" i="26"/>
  <c r="U35" i="26" s="1"/>
  <c r="U37" i="26" s="1"/>
  <c r="L14" i="26"/>
  <c r="L35" i="26" s="1"/>
  <c r="L37" i="26" s="1"/>
  <c r="BA14" i="26"/>
  <c r="BA35" i="26" s="1"/>
  <c r="BA37" i="26" s="1"/>
  <c r="O14" i="26"/>
  <c r="O35" i="26" s="1"/>
  <c r="O37" i="26" s="1"/>
  <c r="K14" i="26"/>
  <c r="K35" i="26" s="1"/>
  <c r="K37" i="26" s="1"/>
  <c r="S14" i="26"/>
  <c r="S35" i="26" s="1"/>
  <c r="S37" i="26" s="1"/>
  <c r="N14" i="26"/>
  <c r="N35" i="26" s="1"/>
  <c r="J14" i="26"/>
  <c r="J35" i="26" s="1"/>
  <c r="F14" i="26"/>
  <c r="F35" i="26" s="1"/>
  <c r="F37" i="26" s="1"/>
  <c r="C14" i="26"/>
  <c r="D14" i="26"/>
  <c r="BU11" i="26"/>
  <c r="D45" i="26" s="1"/>
  <c r="BU10" i="26"/>
  <c r="D50" i="26" s="1"/>
  <c r="V37" i="26" l="1"/>
  <c r="W37" i="26" s="1"/>
  <c r="X37" i="26" s="1"/>
  <c r="R35" i="26"/>
  <c r="R37" i="26" s="1"/>
  <c r="E97" i="18"/>
  <c r="E78" i="19"/>
  <c r="BU12" i="26" l="1"/>
  <c r="D46" i="26" s="1"/>
  <c r="A78" i="19" l="1"/>
  <c r="A97" i="18"/>
  <c r="B81" i="12" l="1"/>
  <c r="B78" i="19"/>
  <c r="B97" i="18"/>
  <c r="C78" i="19" l="1"/>
  <c r="D78" i="19" s="1"/>
  <c r="D81" i="12" l="1"/>
  <c r="C81" i="12"/>
  <c r="D97" i="18" l="1"/>
  <c r="C97" i="18" l="1"/>
  <c r="B78" i="12" l="1"/>
  <c r="B94" i="18"/>
  <c r="B93" i="18"/>
  <c r="B74" i="19"/>
  <c r="F81" i="22"/>
  <c r="F12" i="22"/>
  <c r="F11" i="22"/>
  <c r="C12" i="22" s="1"/>
  <c r="C13" i="22" s="1"/>
  <c r="F82" i="22" l="1"/>
  <c r="B100" i="12" l="1"/>
  <c r="B99" i="12"/>
  <c r="B102" i="12" l="1"/>
  <c r="G71" i="12"/>
  <c r="K11" i="19" l="1"/>
  <c r="F10" i="19"/>
  <c r="G69" i="19"/>
  <c r="H68" i="19"/>
  <c r="F68" i="19"/>
  <c r="F11" i="18"/>
  <c r="F10" i="18"/>
  <c r="G77" i="17"/>
  <c r="H76" i="17"/>
  <c r="F76" i="17"/>
  <c r="F77" i="17" s="1"/>
  <c r="F87" i="18" l="1"/>
  <c r="H9" i="19"/>
  <c r="H10" i="19"/>
  <c r="F10" i="12"/>
  <c r="F69" i="19" l="1"/>
  <c r="H69" i="19" s="1"/>
  <c r="H77" i="17"/>
  <c r="H10" i="12" l="1"/>
  <c r="F71" i="12"/>
  <c r="H71" i="12" s="1"/>
</calcChain>
</file>

<file path=xl/comments1.xml><?xml version="1.0" encoding="utf-8"?>
<comments xmlns="http://schemas.openxmlformats.org/spreadsheetml/2006/main">
  <authors>
    <author>Propietario</author>
  </authors>
  <commentList>
    <comment ref="H10" authorId="0" shapeId="0">
      <text>
        <r>
          <rPr>
            <b/>
            <sz val="9"/>
            <color indexed="81"/>
            <rFont val="Tahoma"/>
            <family val="2"/>
          </rPr>
          <t>Propietario:</t>
        </r>
        <r>
          <rPr>
            <sz val="9"/>
            <color indexed="81"/>
            <rFont val="Tahoma"/>
            <family val="2"/>
          </rPr>
          <t xml:space="preserve">
Neko tenia que cambiar la factura que le pusieron a nombre de otra empresa</t>
        </r>
      </text>
    </comment>
  </commentList>
</comments>
</file>

<file path=xl/sharedStrings.xml><?xml version="1.0" encoding="utf-8"?>
<sst xmlns="http://schemas.openxmlformats.org/spreadsheetml/2006/main" count="721" uniqueCount="329">
  <si>
    <t>FECHA</t>
  </si>
  <si>
    <t>COMBUSTIBLE</t>
  </si>
  <si>
    <t>OBSERVACION</t>
  </si>
  <si>
    <t>HORAS TRABAJADAS</t>
  </si>
  <si>
    <t>CONSUMO X HORA</t>
  </si>
  <si>
    <t>CONTROL DE COMBUSTIBLE Y HORAS MAQUINA</t>
  </si>
  <si>
    <t>HOROMETRO INICIAL</t>
  </si>
  <si>
    <t>HOROMETRO FINAL</t>
  </si>
  <si>
    <t>MAQUINARIA:</t>
  </si>
  <si>
    <t>OPERADOR:</t>
  </si>
  <si>
    <t>UBICACIÓN:</t>
  </si>
  <si>
    <t>PROYECTO:</t>
  </si>
  <si>
    <t>CENTRO POBLADO DE SAN JAVIER</t>
  </si>
  <si>
    <t>PARTE DIARIO</t>
  </si>
  <si>
    <t>HOROMETRO ABASTECIMIENTO</t>
  </si>
  <si>
    <t>Total</t>
  </si>
  <si>
    <t>Consumo promedio de equipo pesado acumulado</t>
  </si>
  <si>
    <t>GERARDO CASTILLO SANCHEZ</t>
  </si>
  <si>
    <t>Petroleo sem I</t>
  </si>
  <si>
    <t>Petroleo sem II</t>
  </si>
  <si>
    <t>Petroleo sem III</t>
  </si>
  <si>
    <t>Petroleo sem IV</t>
  </si>
  <si>
    <t>TOTAL</t>
  </si>
  <si>
    <t>TODAS</t>
  </si>
  <si>
    <t>ITEM</t>
  </si>
  <si>
    <t>EQUIPO PESADO</t>
  </si>
  <si>
    <t>EXCAVADORA DOOSAN</t>
  </si>
  <si>
    <t>EXCAVADORA KOBELCO SK 350</t>
  </si>
  <si>
    <t>TOTAL COMBUSTIBLE</t>
  </si>
  <si>
    <t>Elaborado</t>
  </si>
  <si>
    <t xml:space="preserve"> SERVICIO DE RESTABLECIMIENTO DE DEFENSA RIBEREÑA, SECTOR LA LEGUA -CHANGUILLO- NAZCA-ICA</t>
  </si>
  <si>
    <t>ANTERIOR</t>
  </si>
  <si>
    <t>Primer abastecimiento en carretera</t>
  </si>
  <si>
    <t>TRACTOR D155 - AX CASTILLO</t>
  </si>
  <si>
    <t>TRACTOR D155 - AX PALACIOS</t>
  </si>
  <si>
    <t>CAMIONETA MITSUBISHI L200</t>
  </si>
  <si>
    <t>Solo se tiene este reporte, falta los de dias anteriores</t>
  </si>
  <si>
    <t>RENDIMIENTO Gal X Hr</t>
  </si>
  <si>
    <t>TRACTOR KOMATSU D155- AX-6 SERIE 82081</t>
  </si>
  <si>
    <t>EXCAVADORA DOOSAN 3400 DX 340 LCA M SERIE DHKCECAPPD0005343</t>
  </si>
  <si>
    <t>EXCAVADORA KOBELCO SK-350 -B SERIE YC08U2284</t>
  </si>
  <si>
    <t>OPERADOR</t>
  </si>
  <si>
    <t>RENDIMIENTO DE EQUIPO DIARIO</t>
  </si>
  <si>
    <t>Horas efectivas de equipo</t>
  </si>
  <si>
    <t>Gal x Hora</t>
  </si>
  <si>
    <t>HOROMETRO</t>
  </si>
  <si>
    <t>Abaset. 02</t>
  </si>
  <si>
    <t>Abaset. 01</t>
  </si>
  <si>
    <t>Combustible</t>
  </si>
  <si>
    <t>TRACTOR KOMATSU D155- AX-6 SERIE 82071</t>
  </si>
  <si>
    <t>Rendimeinto GalXhra</t>
  </si>
  <si>
    <t>RESUMEN DE CONTROL DE COMBUSTIBLE</t>
  </si>
  <si>
    <t>TOTAL ACUMULADO</t>
  </si>
  <si>
    <t>RESUMEN ACUMULADO GENERAL</t>
  </si>
  <si>
    <t xml:space="preserve">EDGAR HUISA </t>
  </si>
  <si>
    <t xml:space="preserve"> SERVICIO DE RESTABLECIMIENTO DE DEFENSA RIBEREÑA, SECTOR VIZCAS</t>
  </si>
  <si>
    <t>MANUEL NOMBERTO CHAVEZ</t>
  </si>
  <si>
    <t>CENTRO POBLADO DE VIZCAS</t>
  </si>
  <si>
    <t>TANQUE LLENO</t>
  </si>
  <si>
    <t>RONALD BENDEZU CONDORI</t>
  </si>
  <si>
    <t xml:space="preserve">CESAR CALDERON </t>
  </si>
  <si>
    <t>Ingresó con tanque lleno</t>
  </si>
  <si>
    <t xml:space="preserve"> SERVICIO DE ELABORACION DE FICHA TECNICA DEFINITIVA Y DESCOLMATACION POR EL ESTADO DE EMERGENCIA EN EL RIO GRANDE-SECTOR PINTO, EN EL DISTRITO DE RIO GRANDE, PROVINCIA DE PALPA, DEPARTAMENTO DE ICA</t>
  </si>
  <si>
    <t>DISTRITO DE RIO GRANDE</t>
  </si>
  <si>
    <t>CENTRO POBLADO DE VISCAZ-SECTOR PINTO</t>
  </si>
  <si>
    <t>SECTOR VISCAZ</t>
  </si>
  <si>
    <t>TRACTOR KOMATSU D155 AX</t>
  </si>
  <si>
    <t>Se abasteció con motocarga 01 cilindro +3 bidones</t>
  </si>
  <si>
    <t>TANQUE LLENO - llego de Huancayo</t>
  </si>
  <si>
    <t xml:space="preserve">Se inicio las labores a las 1 pm </t>
  </si>
  <si>
    <t>DAVID NUÑEZ VILCA</t>
  </si>
  <si>
    <t>Inicia el nuevo operador David Nuñez Vilca 2pm</t>
  </si>
  <si>
    <t>se envió 170 galones distribucion pendiente</t>
  </si>
  <si>
    <t>Faltó para llenar</t>
  </si>
  <si>
    <t>Faltaba por llenar</t>
  </si>
  <si>
    <t>Se cambió de maquinaria por un tema de cuchilla autorizó Wilmer Sarmiento, pasó a sector Pinto(se abastecio en grifo) tanque lleno</t>
  </si>
  <si>
    <t xml:space="preserve">Faltó para llenar el tanque </t>
  </si>
  <si>
    <t>Tanque lleno, abastecido cubo y surtidor, se perdió tiempo en el abstecimiento de combustible 30 min</t>
  </si>
  <si>
    <t>Falta llenar/Saldo del dia sabado/mañana 6:00am</t>
  </si>
  <si>
    <t>Tanque lleno a las 5:20 pm</t>
  </si>
  <si>
    <t>Falta llenar/se abastecion en cilindroy bidones</t>
  </si>
  <si>
    <t>Falta llenar se abasecio en dos viajes en bidones de 52 gln</t>
  </si>
  <si>
    <t>Tanque lleno se abaseteció a las 7am</t>
  </si>
  <si>
    <t xml:space="preserve">CAMIONETA DE SERVICIO </t>
  </si>
  <si>
    <t>NN/AGUILAR</t>
  </si>
  <si>
    <t>CONSUMO DIARIOS EN GALONES DE PETROLEO POR MAQUINA SECTOR VISCAZ</t>
  </si>
  <si>
    <t>CONSUMO DIARIOS EN GALONES DE PETROLEO POR MAQUINA SECTOR PINTO</t>
  </si>
  <si>
    <t>CONSUMO DIARIOS EN GALONES DE PETROLEO POR MAQUINA SECTOR TAMBO</t>
  </si>
  <si>
    <t>Falta llenar/se abasteció en bidones</t>
  </si>
  <si>
    <t>Falta llenar</t>
  </si>
  <si>
    <t>CONTROL</t>
  </si>
  <si>
    <t>Tanque lleno se abseteció con cubo en la tarde 6:00pm</t>
  </si>
  <si>
    <t xml:space="preserve">Se compró 51.78 gln Doosan y la Komatsu, no lleno </t>
  </si>
  <si>
    <t>Faltaba llenar se abaseteció a las 8 am</t>
  </si>
  <si>
    <t>LUCIO FLORES FLORES</t>
  </si>
  <si>
    <t>NO LABORO POR AVERIAS</t>
  </si>
  <si>
    <t xml:space="preserve">JULIO MAXIMO GARCIA CCENTE </t>
  </si>
  <si>
    <t>TAMBO</t>
  </si>
  <si>
    <t>Faltaba llenar-maquinaria se descarilo se cambio uñas</t>
  </si>
  <si>
    <t>Tanque lleno</t>
  </si>
  <si>
    <t>Faltaba llenar se abaseteció a las 10.30 am</t>
  </si>
  <si>
    <t>EXCAVADORA KOMATSU 350PC</t>
  </si>
  <si>
    <t>TRACTOR KOMATSU D155- AX-6 SERIE 81559</t>
  </si>
  <si>
    <t xml:space="preserve">Tanque lleno </t>
  </si>
  <si>
    <t xml:space="preserve"> </t>
  </si>
  <si>
    <t>Maquinaria en reparacion/lubricantes1gl aceite de motor</t>
  </si>
  <si>
    <t>Faltó para llenar/aceite de motor a las 6am</t>
  </si>
  <si>
    <t>660</t>
  </si>
  <si>
    <t>688</t>
  </si>
  <si>
    <t>642</t>
  </si>
  <si>
    <t>655</t>
  </si>
  <si>
    <t>401</t>
  </si>
  <si>
    <t>403</t>
  </si>
  <si>
    <t>689</t>
  </si>
  <si>
    <t>691</t>
  </si>
  <si>
    <t>701</t>
  </si>
  <si>
    <t>669</t>
  </si>
  <si>
    <t>654</t>
  </si>
  <si>
    <t>601</t>
  </si>
  <si>
    <t>605</t>
  </si>
  <si>
    <t>690</t>
  </si>
  <si>
    <t>692</t>
  </si>
  <si>
    <t>662</t>
  </si>
  <si>
    <t>683</t>
  </si>
  <si>
    <t>703</t>
  </si>
  <si>
    <t>LITROS POR GALON</t>
  </si>
  <si>
    <t>SAMUEL CASAVILCA</t>
  </si>
  <si>
    <t>Falta llenar 7am</t>
  </si>
  <si>
    <t>Falta llenar 1pm</t>
  </si>
  <si>
    <t>Operador Samuel Casavilca/turno tarde</t>
  </si>
  <si>
    <t>Falta llenar 7pm</t>
  </si>
  <si>
    <t>Operador Samuel Casavilca/turno tarde/TANQUE LLENO</t>
  </si>
  <si>
    <t>FALTA LLENAR</t>
  </si>
  <si>
    <t>Operador Samuel Casavilca/turno tard/Tanque lleno</t>
  </si>
  <si>
    <t>Operador Samuel Casavilca/turno tard</t>
  </si>
  <si>
    <t>Operador Samuel Casavilca/turno tarde no lleno tanque</t>
  </si>
  <si>
    <t>207</t>
  </si>
  <si>
    <t>513</t>
  </si>
  <si>
    <t>208</t>
  </si>
  <si>
    <t>512</t>
  </si>
  <si>
    <t>502</t>
  </si>
  <si>
    <t>206</t>
  </si>
  <si>
    <t>511</t>
  </si>
  <si>
    <t>205</t>
  </si>
  <si>
    <t>510</t>
  </si>
  <si>
    <t>204</t>
  </si>
  <si>
    <t>202</t>
  </si>
  <si>
    <t>501</t>
  </si>
  <si>
    <t>503</t>
  </si>
  <si>
    <t>504</t>
  </si>
  <si>
    <t>505</t>
  </si>
  <si>
    <t>506</t>
  </si>
  <si>
    <t>507</t>
  </si>
  <si>
    <t>201</t>
  </si>
  <si>
    <t>508</t>
  </si>
  <si>
    <t>509</t>
  </si>
  <si>
    <t>912</t>
  </si>
  <si>
    <t>913</t>
  </si>
  <si>
    <t>914</t>
  </si>
  <si>
    <t>915</t>
  </si>
  <si>
    <t>219</t>
  </si>
  <si>
    <t>220</t>
  </si>
  <si>
    <t>222</t>
  </si>
  <si>
    <t>223</t>
  </si>
  <si>
    <t>224</t>
  </si>
  <si>
    <t>225</t>
  </si>
  <si>
    <t>901</t>
  </si>
  <si>
    <t>902</t>
  </si>
  <si>
    <t>Faltaba llenar se abaseteció a las 12 m/Tanqueta prestada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</si>
  <si>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</si>
  <si>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</si>
  <si>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</si>
  <si>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</si>
  <si>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</si>
  <si>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</si>
  <si>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</si>
  <si>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</si>
  <si>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</si>
  <si>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257</t>
  </si>
  <si>
    <t>259</t>
  </si>
  <si>
    <t>260</t>
  </si>
  <si>
    <t>261</t>
  </si>
  <si>
    <t>262</t>
  </si>
  <si>
    <t>263</t>
  </si>
  <si>
    <t>264</t>
  </si>
  <si>
    <t>801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</si>
  <si>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</si>
  <si>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</si>
  <si>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</si>
  <si>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</si>
  <si>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</si>
  <si>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</si>
  <si>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</si>
  <si>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</si>
  <si>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</si>
  <si>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Tanque no llenó</t>
  </si>
  <si>
    <t>No lleno el tanque</t>
  </si>
  <si>
    <t>Tanque lleno 11 am/ maquina averiada</t>
  </si>
  <si>
    <t>709</t>
  </si>
  <si>
    <t>708</t>
  </si>
  <si>
    <t>707</t>
  </si>
  <si>
    <t>706</t>
  </si>
  <si>
    <t>705</t>
  </si>
  <si>
    <t>704</t>
  </si>
  <si>
    <t>606</t>
  </si>
  <si>
    <t>607</t>
  </si>
  <si>
    <t>404</t>
  </si>
  <si>
    <t>405</t>
  </si>
  <si>
    <t>Turno noche/David</t>
  </si>
  <si>
    <t>Turno diurno Lucio</t>
  </si>
  <si>
    <t>Nuevo operador Raul Ferreyra no lleno el tanque</t>
  </si>
  <si>
    <t>611</t>
  </si>
  <si>
    <t>712</t>
  </si>
  <si>
    <t>413</t>
  </si>
  <si>
    <t>412</t>
  </si>
  <si>
    <t>410</t>
  </si>
  <si>
    <t xml:space="preserve">Operador David </t>
  </si>
  <si>
    <t>411</t>
  </si>
  <si>
    <t>Aceite de motor 1/4 gln/operador David</t>
  </si>
  <si>
    <t>Operador David Nuñez vilca</t>
  </si>
  <si>
    <t>Operador nuevo Luis Zevallos Andray/turno noche</t>
  </si>
  <si>
    <t>710</t>
  </si>
  <si>
    <t>711</t>
  </si>
  <si>
    <t>Maquina en mantenimiento</t>
  </si>
  <si>
    <t>Maquinaria con averias en evaluacion y mantenimiento</t>
  </si>
  <si>
    <t>409</t>
  </si>
  <si>
    <t>408</t>
  </si>
  <si>
    <t>610</t>
  </si>
  <si>
    <t>407</t>
  </si>
  <si>
    <t>609</t>
  </si>
  <si>
    <t>406</t>
  </si>
  <si>
    <t>608</t>
  </si>
  <si>
    <t>816</t>
  </si>
  <si>
    <t>815</t>
  </si>
  <si>
    <t>814</t>
  </si>
  <si>
    <t>813</t>
  </si>
  <si>
    <t>812</t>
  </si>
  <si>
    <t>SERVICIO DE ELABORACION DE FICHA TECNICA DEFINITIVA Y DESCOLMATACION POR EL ESTADO DE EMERGENCIA EN EL RIO GRANDE-SECTOR PINTO, EN EL DISTRITO DE RIO GRANDE, PROVINCIA DE PALPA, DEPARTAMENTO DE ICA</t>
  </si>
  <si>
    <t>SERVICIO DE ELABORACION DE FICHA TECNICA DEFINITIVA Y DESCOLMATACION POR EL ESTADO DE EMERGENCIA EN EL RIO PALPA-SECTOR TAMBO, EN EL DISTRITO DE PALPA, PROVINCIA DE PALPA, DEPARTAMENTO DE ICA</t>
  </si>
  <si>
    <t xml:space="preserve"> SERVICIO DE ELABORACION DE FICHA TECNICA DEFINITIVA Y DESCOLMATACION POR EL ESTADO DE EMERGENCIA EN EL RIO VISCAZ-SECTOR VISCAZ, EN EL DISTRITO DE PALPA, PROVINCIA DE PALPA, DEPARTAMENTO DE ICA</t>
  </si>
  <si>
    <t xml:space="preserve"> SERVICIO DE ELABORACION DE FICHA TECNICA DEFINITIVA Y DESCOLMATACION POR EL ESTADO DE EMERGENCIA EN EL RIO VISCAZ-SECTOR VISCAZ, EN EL DISTRITO DE PLAPA PROVINCIA DE PALPA, DEPARTAMENTO DE ICA</t>
  </si>
  <si>
    <t>Lleno tanque</t>
  </si>
  <si>
    <t>SALDO</t>
  </si>
  <si>
    <t>817</t>
  </si>
  <si>
    <t>Abastecimiento interno Kobelco a Doosan110 gln</t>
  </si>
  <si>
    <t>Se extrajo para abastecimiento interno</t>
  </si>
  <si>
    <t>Abastecimiento interno dekomatsu I/falta llenar</t>
  </si>
  <si>
    <t>abastecimiento interno/falta llenar</t>
  </si>
  <si>
    <t>Se abasteció en bidones</t>
  </si>
  <si>
    <t xml:space="preserve">Se abasteció en bidones </t>
  </si>
  <si>
    <t>ABASTECIDO</t>
  </si>
  <si>
    <t>COMPRADO</t>
  </si>
  <si>
    <t>falta llenar</t>
  </si>
  <si>
    <t>TRACTOR D155 - AX 82071</t>
  </si>
  <si>
    <t>TRACTOR D155 - AX 82081</t>
  </si>
  <si>
    <t>no lleno</t>
  </si>
  <si>
    <t>430</t>
  </si>
  <si>
    <t>431</t>
  </si>
  <si>
    <t>432</t>
  </si>
  <si>
    <t>433</t>
  </si>
  <si>
    <t>434</t>
  </si>
  <si>
    <t>435</t>
  </si>
  <si>
    <t>436</t>
  </si>
  <si>
    <t>437</t>
  </si>
  <si>
    <t>429</t>
  </si>
  <si>
    <t>428</t>
  </si>
  <si>
    <t>427</t>
  </si>
  <si>
    <t>426</t>
  </si>
  <si>
    <t>425</t>
  </si>
  <si>
    <t>424</t>
  </si>
  <si>
    <t>Operador Ferreira</t>
  </si>
  <si>
    <t>Tanque lleno-Operador David turno noche</t>
  </si>
  <si>
    <t>614</t>
  </si>
  <si>
    <t>418</t>
  </si>
  <si>
    <t>615</t>
  </si>
  <si>
    <t>419</t>
  </si>
  <si>
    <t>Operador David Nuñez vilca-paralizó por falta de comb.</t>
  </si>
  <si>
    <t>Tanque lleno/operador Ferreira</t>
  </si>
  <si>
    <t>420</t>
  </si>
  <si>
    <t>616</t>
  </si>
  <si>
    <t>916</t>
  </si>
  <si>
    <t>Paró por falta de combustible</t>
  </si>
  <si>
    <t>917</t>
  </si>
  <si>
    <t>918</t>
  </si>
  <si>
    <t>Se rompió perno de la guia de cadena</t>
  </si>
  <si>
    <t>919</t>
  </si>
  <si>
    <t>920</t>
  </si>
  <si>
    <t>No lleno el tanque-se descarrilo cadena</t>
  </si>
  <si>
    <t>921</t>
  </si>
  <si>
    <t>Tanque lleno/traslado a sector Pinto</t>
  </si>
  <si>
    <t>se le quito 118 galones para la doosan</t>
  </si>
  <si>
    <t>922</t>
  </si>
  <si>
    <t>923</t>
  </si>
  <si>
    <t>No lleno tanque</t>
  </si>
  <si>
    <t>Conformacion de dique</t>
  </si>
  <si>
    <t>925</t>
  </si>
  <si>
    <t>926</t>
  </si>
  <si>
    <t>927</t>
  </si>
  <si>
    <t>928</t>
  </si>
  <si>
    <t>929</t>
  </si>
  <si>
    <t>Se para el equipo por fallas en el motor</t>
  </si>
  <si>
    <t>930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</si>
  <si>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</si>
  <si>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</si>
  <si>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</si>
  <si>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</si>
  <si>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</si>
  <si>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</si>
  <si>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</si>
  <si>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</si>
  <si>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</si>
  <si>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</si>
  <si>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</si>
  <si>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725</t>
  </si>
  <si>
    <t>724</t>
  </si>
  <si>
    <t>723</t>
  </si>
  <si>
    <t>Operador Juan Jose Garcia Ore/turno dia</t>
  </si>
  <si>
    <t>722</t>
  </si>
  <si>
    <t>721</t>
  </si>
  <si>
    <t>Tanque lleno/operador David</t>
  </si>
  <si>
    <t>720</t>
  </si>
  <si>
    <t>Operador nocturno David</t>
  </si>
  <si>
    <t>719</t>
  </si>
  <si>
    <t>Se extrajo combustible por reparación</t>
  </si>
  <si>
    <t>Se extrajo combustible por mantenimiento de equipo</t>
  </si>
  <si>
    <t>.</t>
  </si>
  <si>
    <t>no lleno el tanque</t>
  </si>
  <si>
    <t>No Lleno  tanque</t>
  </si>
  <si>
    <t>Juan Jose Garcia 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</si>
</sst>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 * #,##0.00_ ;_ * \-#,##0.00_ ;_ * &quot;-&quot;??_ ;_ @_ "/>
    <numFmt numFmtId="165" formatCode="#.00&quot; gln&quot;"/>
    <numFmt numFmtId="166" formatCode="#.00&quot; gln/hr&quot;"/>
    <numFmt numFmtId="167" formatCode="#.00&quot; hm&quot;"/>
    <numFmt numFmtId="168" formatCode="0.0"/>
    <numFmt numFmtId="169" formatCode="[$-F800]dddd\,\ mmmm\ dd\,\ yyyy"/>
    <numFmt numFmtId="170" formatCode="0.000"/>
    <numFmt numFmtId="171" formatCode="0.0000"/>
    <numFmt numFmtId="172" formatCode="0.000000000000"/>
    <numFmt numFmtId="173" formatCode="_ * #,##0.0_ ;_ * \-#,##0.0_ ;_ * &quot;-&quot;??_ ;_ @_ 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color theme="1"/>
      <name val="Arial Narrow"/>
      <family val="2"/>
    </font>
    <font>
      <b/>
      <i/>
      <sz val="16"/>
      <color theme="1"/>
      <name val="Arial Narrow"/>
      <family val="2"/>
    </font>
    <font>
      <b/>
      <sz val="9"/>
      <color theme="1"/>
      <name val="Arial Narrow"/>
      <family val="2"/>
    </font>
    <font>
      <b/>
      <i/>
      <sz val="12"/>
      <color theme="1"/>
      <name val="Arial Narrow"/>
      <family val="2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 Narrow"/>
      <family val="2"/>
    </font>
    <font>
      <sz val="10"/>
      <color theme="0"/>
      <name val="Arial Narrow"/>
      <family val="2"/>
    </font>
    <font>
      <i/>
      <sz val="10"/>
      <name val="Arial Narrow"/>
      <family val="2"/>
    </font>
    <font>
      <sz val="9"/>
      <color rgb="FF040C28"/>
      <name val="Arial"/>
      <family val="2"/>
    </font>
    <font>
      <i/>
      <sz val="10"/>
      <color rgb="FFFF0000"/>
      <name val="Arial Narrow"/>
      <family val="2"/>
    </font>
    <font>
      <b/>
      <i/>
      <sz val="20"/>
      <color theme="1"/>
      <name val="Arial Narrow"/>
      <family val="2"/>
    </font>
    <font>
      <sz val="1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164" fontId="17" fillId="0" borderId="0" applyFont="0" applyFill="0" applyBorder="0" applyAlignment="0" applyProtection="0"/>
  </cellStyleXfs>
  <cellXfs count="205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11" fillId="0" borderId="1" xfId="0" applyNumberFormat="1" applyFont="1" applyBorder="1" applyAlignment="1">
      <alignment horizontal="left" vertical="center" inden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49" fontId="14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right" vertical="center"/>
    </xf>
    <xf numFmtId="166" fontId="15" fillId="0" borderId="1" xfId="0" applyNumberFormat="1" applyFont="1" applyBorder="1" applyAlignment="1">
      <alignment horizontal="left" vertical="center" indent="1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 indent="1"/>
    </xf>
    <xf numFmtId="0" fontId="14" fillId="0" borderId="1" xfId="0" applyFont="1" applyBorder="1" applyAlignment="1">
      <alignment vertical="center" wrapText="1"/>
    </xf>
    <xf numFmtId="165" fontId="14" fillId="0" borderId="2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65" fontId="14" fillId="0" borderId="1" xfId="0" applyNumberFormat="1" applyFont="1" applyBorder="1" applyAlignment="1">
      <alignment vertical="center"/>
    </xf>
    <xf numFmtId="165" fontId="14" fillId="0" borderId="1" xfId="0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67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2" fontId="14" fillId="0" borderId="0" xfId="0" applyNumberFormat="1" applyFont="1" applyAlignment="1">
      <alignment vertical="center"/>
    </xf>
    <xf numFmtId="167" fontId="11" fillId="0" borderId="1" xfId="0" applyNumberFormat="1" applyFont="1" applyBorder="1" applyAlignment="1">
      <alignment vertical="center"/>
    </xf>
    <xf numFmtId="165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16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2" fontId="18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66" fontId="15" fillId="0" borderId="1" xfId="0" applyNumberFormat="1" applyFont="1" applyBorder="1" applyAlignment="1">
      <alignment horizontal="left" vertical="center" indent="1"/>
    </xf>
    <xf numFmtId="166" fontId="15" fillId="0" borderId="1" xfId="0" applyNumberFormat="1" applyFont="1" applyBorder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164" fontId="15" fillId="0" borderId="1" xfId="3" applyFont="1" applyBorder="1" applyAlignment="1">
      <alignment horizontal="left" vertical="center" indent="1"/>
    </xf>
    <xf numFmtId="0" fontId="12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left" vertical="center" indent="1"/>
    </xf>
    <xf numFmtId="164" fontId="15" fillId="6" borderId="1" xfId="3" applyFont="1" applyFill="1" applyBorder="1" applyAlignment="1">
      <alignment horizontal="left" vertical="center" indent="1"/>
    </xf>
    <xf numFmtId="49" fontId="14" fillId="7" borderId="1" xfId="0" applyNumberFormat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167" fontId="14" fillId="7" borderId="1" xfId="0" applyNumberFormat="1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right" vertical="center"/>
    </xf>
    <xf numFmtId="166" fontId="15" fillId="7" borderId="1" xfId="0" applyNumberFormat="1" applyFont="1" applyFill="1" applyBorder="1" applyAlignment="1">
      <alignment horizontal="left" vertical="center" indent="1"/>
    </xf>
    <xf numFmtId="0" fontId="14" fillId="7" borderId="1" xfId="0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0" fontId="12" fillId="6" borderId="1" xfId="0" applyFont="1" applyFill="1" applyBorder="1" applyAlignment="1">
      <alignment horizontal="center" vertical="center" wrapText="1"/>
    </xf>
    <xf numFmtId="166" fontId="11" fillId="6" borderId="1" xfId="0" applyNumberFormat="1" applyFont="1" applyFill="1" applyBorder="1" applyAlignment="1">
      <alignment horizontal="left" vertical="center" indent="1"/>
    </xf>
    <xf numFmtId="0" fontId="6" fillId="0" borderId="3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8" fillId="8" borderId="1" xfId="0" applyFont="1" applyFill="1" applyBorder="1" applyAlignment="1">
      <alignment vertical="center"/>
    </xf>
    <xf numFmtId="2" fontId="18" fillId="8" borderId="1" xfId="0" applyNumberFormat="1" applyFont="1" applyFill="1" applyBorder="1" applyAlignment="1">
      <alignment vertical="center"/>
    </xf>
    <xf numFmtId="164" fontId="18" fillId="8" borderId="1" xfId="3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165" fontId="14" fillId="0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0" fontId="10" fillId="0" borderId="0" xfId="0" applyNumberFormat="1" applyFont="1" applyAlignment="1">
      <alignment vertical="center"/>
    </xf>
    <xf numFmtId="0" fontId="5" fillId="0" borderId="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171" fontId="14" fillId="0" borderId="0" xfId="0" applyNumberFormat="1" applyFont="1" applyAlignment="1">
      <alignment vertical="center"/>
    </xf>
    <xf numFmtId="168" fontId="0" fillId="0" borderId="1" xfId="0" applyNumberFormat="1" applyBorder="1" applyAlignment="1">
      <alignment vertical="center"/>
    </xf>
    <xf numFmtId="164" fontId="10" fillId="0" borderId="0" xfId="3" applyFont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7" fontId="15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165" fontId="15" fillId="0" borderId="1" xfId="0" applyNumberFormat="1" applyFont="1" applyFill="1" applyBorder="1" applyAlignment="1">
      <alignment horizontal="right" vertical="center"/>
    </xf>
    <xf numFmtId="167" fontId="15" fillId="0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right" vertical="center"/>
    </xf>
    <xf numFmtId="165" fontId="14" fillId="0" borderId="0" xfId="0" applyNumberFormat="1" applyFont="1" applyAlignment="1">
      <alignment vertical="center"/>
    </xf>
    <xf numFmtId="164" fontId="14" fillId="0" borderId="1" xfId="3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3" fontId="32" fillId="0" borderId="0" xfId="0" applyNumberFormat="1" applyFont="1"/>
    <xf numFmtId="168" fontId="14" fillId="0" borderId="1" xfId="0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164" fontId="14" fillId="0" borderId="1" xfId="3" applyFont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172" fontId="10" fillId="0" borderId="0" xfId="0" applyNumberFormat="1" applyFont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9" borderId="1" xfId="0" applyFill="1" applyBorder="1" applyAlignment="1">
      <alignment vertical="center"/>
    </xf>
    <xf numFmtId="167" fontId="11" fillId="0" borderId="1" xfId="0" applyNumberFormat="1" applyFont="1" applyBorder="1" applyAlignment="1">
      <alignment horizontal="center" vertical="center"/>
    </xf>
    <xf numFmtId="164" fontId="0" fillId="0" borderId="1" xfId="3" applyFont="1" applyBorder="1" applyAlignment="1">
      <alignment vertical="center"/>
    </xf>
    <xf numFmtId="164" fontId="0" fillId="0" borderId="1" xfId="3" applyFont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 vertical="center"/>
    </xf>
    <xf numFmtId="173" fontId="0" fillId="0" borderId="1" xfId="3" applyNumberFormat="1" applyFont="1" applyBorder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0" fontId="0" fillId="0" borderId="13" xfId="0" applyBorder="1" applyAlignment="1">
      <alignment vertical="center"/>
    </xf>
    <xf numFmtId="164" fontId="0" fillId="0" borderId="14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164" fontId="0" fillId="0" borderId="16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0" fontId="0" fillId="9" borderId="18" xfId="0" applyFill="1" applyBorder="1" applyAlignment="1">
      <alignment vertical="center"/>
    </xf>
    <xf numFmtId="2" fontId="0" fillId="0" borderId="18" xfId="0" applyNumberFormat="1" applyBorder="1" applyAlignment="1">
      <alignment vertical="center"/>
    </xf>
    <xf numFmtId="164" fontId="0" fillId="0" borderId="19" xfId="0" applyNumberFormat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25" fillId="3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11" borderId="18" xfId="0" applyFill="1" applyBorder="1" applyAlignment="1">
      <alignment vertical="center"/>
    </xf>
    <xf numFmtId="0" fontId="2" fillId="0" borderId="0" xfId="0" applyFont="1" applyAlignment="1">
      <alignment vertical="center"/>
    </xf>
    <xf numFmtId="166" fontId="10" fillId="0" borderId="1" xfId="0" applyNumberFormat="1" applyFont="1" applyBorder="1" applyAlignment="1">
      <alignment horizontal="left" vertical="center" indent="1"/>
    </xf>
    <xf numFmtId="0" fontId="25" fillId="3" borderId="4" xfId="0" applyFont="1" applyFill="1" applyBorder="1" applyAlignment="1">
      <alignment horizontal="center" vertical="center"/>
    </xf>
    <xf numFmtId="168" fontId="18" fillId="8" borderId="1" xfId="0" applyNumberFormat="1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9" fontId="12" fillId="0" borderId="0" xfId="0" applyNumberFormat="1" applyFont="1" applyAlignment="1">
      <alignment horizontal="left" vertical="center"/>
    </xf>
    <xf numFmtId="169" fontId="12" fillId="0" borderId="0" xfId="0" applyNumberFormat="1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4" fillId="0" borderId="11" xfId="0" applyNumberFormat="1" applyFont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64" fontId="22" fillId="6" borderId="1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4" fontId="0" fillId="0" borderId="0" xfId="3" applyFont="1" applyAlignment="1">
      <alignment horizontal="center" vertical="center"/>
    </xf>
    <xf numFmtId="16" fontId="19" fillId="3" borderId="1" xfId="0" applyNumberFormat="1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164" fontId="0" fillId="0" borderId="3" xfId="3" applyFont="1" applyBorder="1" applyAlignment="1">
      <alignment horizontal="center" vertical="center"/>
    </xf>
    <xf numFmtId="164" fontId="0" fillId="0" borderId="5" xfId="3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4" fontId="18" fillId="3" borderId="3" xfId="3" applyFont="1" applyFill="1" applyBorder="1" applyAlignment="1">
      <alignment horizontal="center" vertical="center"/>
    </xf>
    <xf numFmtId="164" fontId="18" fillId="3" borderId="5" xfId="3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</cellXfs>
  <cellStyles count="4">
    <cellStyle name="Millares" xfId="3" builtinId="3"/>
    <cellStyle name="Normal" xfId="0" builtinId="0"/>
    <cellStyle name="Normal 15" xfId="1"/>
    <cellStyle name="Normal 4" xfId="2"/>
  </cellStyles>
  <dxfs count="0"/>
  <tableStyles count="0" defaultTableStyle="TableStyleMedium2"/>
  <colors>
    <mruColors>
      <color rgb="FFF0F8FA"/>
      <color rgb="FFE5F4F7"/>
      <color rgb="FF3BA3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813500</xdr:colOff>
      <xdr:row>1</xdr:row>
      <xdr:rowOff>152277</xdr:rowOff>
    </xdr:from>
    <xdr:to>
      <xdr:col>8</xdr:col>
      <xdr:colOff>2358527</xdr:colOff>
      <xdr:row>5</xdr:row>
      <xdr:rowOff>133767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1EE771C-94EE-43C6-8610-CB6A9229D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8185850" y="314202"/>
          <a:ext cx="1545027" cy="876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974741</xdr:colOff>
      <xdr:row>4</xdr:row>
      <xdr:rowOff>8283</xdr:rowOff>
    </xdr:from>
    <xdr:to>
      <xdr:col>9</xdr:col>
      <xdr:colOff>1960962</xdr:colOff>
      <xdr:row>7</xdr:row>
      <xdr:rowOff>133768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D2FFD09-C652-4A33-942E-CF8418889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7294371" y="911087"/>
          <a:ext cx="986221" cy="5644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813500</xdr:colOff>
      <xdr:row>1</xdr:row>
      <xdr:rowOff>152277</xdr:rowOff>
    </xdr:from>
    <xdr:to>
      <xdr:col>8</xdr:col>
      <xdr:colOff>2358527</xdr:colOff>
      <xdr:row>5</xdr:row>
      <xdr:rowOff>133767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5BA04AB0-DD0A-443B-AA8B-5C71DDD7DF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7252400" y="314202"/>
          <a:ext cx="1545027" cy="8768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946021</xdr:colOff>
      <xdr:row>2</xdr:row>
      <xdr:rowOff>143994</xdr:rowOff>
    </xdr:from>
    <xdr:to>
      <xdr:col>8</xdr:col>
      <xdr:colOff>2491048</xdr:colOff>
      <xdr:row>6</xdr:row>
      <xdr:rowOff>150332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2D380C49-0A56-460E-9D24-1BAC0FFF3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7456151" y="715494"/>
          <a:ext cx="1545027" cy="8842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698500</xdr:colOff>
      <xdr:row>2</xdr:row>
      <xdr:rowOff>155921</xdr:rowOff>
    </xdr:from>
    <xdr:to>
      <xdr:col>9</xdr:col>
      <xdr:colOff>1842589</xdr:colOff>
      <xdr:row>5</xdr:row>
      <xdr:rowOff>157579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B07CB2B0-1574-4D11-850B-38636F315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7191375" y="727421"/>
          <a:ext cx="1144089" cy="6445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414131</xdr:colOff>
      <xdr:row>2</xdr:row>
      <xdr:rowOff>268772</xdr:rowOff>
    </xdr:from>
    <xdr:to>
      <xdr:col>8</xdr:col>
      <xdr:colOff>1538549</xdr:colOff>
      <xdr:row>6</xdr:row>
      <xdr:rowOff>75789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403328D-663D-4250-A6EB-AF8070BBA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7023653" y="740881"/>
          <a:ext cx="1124418" cy="6435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698500</xdr:colOff>
      <xdr:row>2</xdr:row>
      <xdr:rowOff>155921</xdr:rowOff>
    </xdr:from>
    <xdr:to>
      <xdr:col>9</xdr:col>
      <xdr:colOff>1842589</xdr:colOff>
      <xdr:row>5</xdr:row>
      <xdr:rowOff>157579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4CCDDAEA-FB24-4A0B-A67C-E72F281F79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7185025" y="727421"/>
          <a:ext cx="1144089" cy="6493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137225</xdr:colOff>
      <xdr:row>1</xdr:row>
      <xdr:rowOff>85602</xdr:rowOff>
    </xdr:from>
    <xdr:to>
      <xdr:col>68</xdr:col>
      <xdr:colOff>339227</xdr:colOff>
      <xdr:row>6</xdr:row>
      <xdr:rowOff>9942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A441883C-7E28-4B88-B340-8FE13025B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138" t="38112" r="42727" b="20295"/>
        <a:stretch/>
      </xdr:blipFill>
      <xdr:spPr>
        <a:xfrm>
          <a:off x="13938950" y="276102"/>
          <a:ext cx="1545027" cy="98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K83"/>
  <sheetViews>
    <sheetView showGridLines="0" topLeftCell="A2" zoomScale="115" zoomScaleNormal="115" zoomScaleSheetLayoutView="100" workbookViewId="0">
      <pane ySplit="8" topLeftCell="A19" activePane="bottomLeft" state="frozen"/>
      <selection activeCell="A2" sqref="A2"/>
      <selection pane="bottomLeft" activeCell="A9" sqref="A9:XFD59"/>
    </sheetView>
  </sheetViews>
  <sheetFormatPr baseColWidth="10" defaultColWidth="11.5703125" defaultRowHeight="12.75"/>
  <cols>
    <col min="1" max="1" width="10.85546875" style="1" customWidth="1"/>
    <col min="2" max="2" width="9.28515625" style="1" customWidth="1"/>
    <col min="3" max="3" width="13.7109375" style="1" customWidth="1"/>
    <col min="4" max="4" width="11.42578125" style="7" customWidth="1"/>
    <col min="5" max="5" width="12" style="7" customWidth="1"/>
    <col min="6" max="6" width="12.140625" style="1" customWidth="1"/>
    <col min="7" max="7" width="11.7109375" style="7" customWidth="1"/>
    <col min="8" max="8" width="11.7109375" style="54" customWidth="1"/>
    <col min="9" max="9" width="43.85546875" style="1" customWidth="1"/>
    <col min="10" max="16384" width="11.5703125" style="1"/>
  </cols>
  <sheetData>
    <row r="2" spans="1:9" ht="32.450000000000003" customHeight="1">
      <c r="B2" s="145" t="s">
        <v>5</v>
      </c>
      <c r="C2" s="145"/>
      <c r="D2" s="145"/>
      <c r="E2" s="145"/>
      <c r="F2" s="145"/>
      <c r="G2" s="145"/>
      <c r="H2" s="145"/>
      <c r="I2" s="145"/>
    </row>
    <row r="3" spans="1:9">
      <c r="A3" s="2" t="s">
        <v>11</v>
      </c>
      <c r="B3" s="1" t="s">
        <v>238</v>
      </c>
      <c r="D3" s="1"/>
      <c r="E3" s="1"/>
      <c r="G3" s="1"/>
      <c r="H3" s="1"/>
    </row>
    <row r="4" spans="1:9">
      <c r="A4" s="2" t="s">
        <v>8</v>
      </c>
      <c r="B4" s="109" t="s">
        <v>101</v>
      </c>
      <c r="D4" s="1"/>
      <c r="E4" s="1"/>
      <c r="G4" s="1"/>
      <c r="H4" s="1"/>
    </row>
    <row r="5" spans="1:9">
      <c r="A5" s="2" t="s">
        <v>9</v>
      </c>
      <c r="B5" s="1" t="s">
        <v>96</v>
      </c>
      <c r="D5" s="1"/>
      <c r="E5" s="1"/>
      <c r="G5" s="1"/>
      <c r="H5" s="1"/>
    </row>
    <row r="6" spans="1:9">
      <c r="A6" s="2"/>
      <c r="B6" s="1" t="s">
        <v>126</v>
      </c>
      <c r="D6" s="1"/>
      <c r="E6" s="1"/>
      <c r="G6" s="1"/>
      <c r="H6" s="1"/>
    </row>
    <row r="7" spans="1:9">
      <c r="A7" s="2" t="s">
        <v>10</v>
      </c>
      <c r="B7" s="1" t="s">
        <v>97</v>
      </c>
      <c r="D7" s="1"/>
      <c r="E7" s="1"/>
      <c r="G7" s="1"/>
      <c r="H7" s="1"/>
    </row>
    <row r="9" spans="1:9" s="13" customFormat="1" ht="28.5" customHeight="1">
      <c r="A9" s="12" t="s">
        <v>13</v>
      </c>
      <c r="B9" s="12" t="s">
        <v>0</v>
      </c>
      <c r="C9" s="12" t="s">
        <v>14</v>
      </c>
      <c r="D9" s="12" t="s">
        <v>6</v>
      </c>
      <c r="E9" s="12" t="s">
        <v>7</v>
      </c>
      <c r="F9" s="12" t="s">
        <v>3</v>
      </c>
      <c r="G9" s="12" t="s">
        <v>1</v>
      </c>
      <c r="H9" s="53" t="s">
        <v>50</v>
      </c>
      <c r="I9" s="12" t="s">
        <v>2</v>
      </c>
    </row>
    <row r="10" spans="1:9" s="21" customFormat="1" ht="15" customHeight="1">
      <c r="A10" s="14" t="s">
        <v>147</v>
      </c>
      <c r="B10" s="15">
        <v>45854</v>
      </c>
      <c r="C10" s="16">
        <f>+D10</f>
        <v>11623.3</v>
      </c>
      <c r="D10" s="16">
        <v>11623.3</v>
      </c>
      <c r="E10" s="16">
        <v>11632.1</v>
      </c>
      <c r="F10" s="17">
        <f>+E10-D10</f>
        <v>8.8000000000010914</v>
      </c>
      <c r="G10" s="18">
        <v>154.99</v>
      </c>
      <c r="H10" s="49"/>
      <c r="I10" s="26" t="s">
        <v>32</v>
      </c>
    </row>
    <row r="11" spans="1:9" s="21" customFormat="1" ht="23.25" customHeight="1">
      <c r="A11" s="14" t="s">
        <v>140</v>
      </c>
      <c r="B11" s="15">
        <v>45855</v>
      </c>
      <c r="C11" s="16">
        <v>11632.1</v>
      </c>
      <c r="D11" s="16">
        <f>+E10</f>
        <v>11632.1</v>
      </c>
      <c r="E11" s="16">
        <v>11641.6</v>
      </c>
      <c r="F11" s="17">
        <f t="shared" ref="F11:F81" si="0">IF(D11="","",E11-D11)</f>
        <v>9.5</v>
      </c>
      <c r="G11" s="18">
        <v>50</v>
      </c>
      <c r="H11" s="52"/>
      <c r="I11" s="24" t="s">
        <v>89</v>
      </c>
    </row>
    <row r="12" spans="1:9" s="21" customFormat="1" ht="15" customHeight="1">
      <c r="A12" s="14" t="s">
        <v>148</v>
      </c>
      <c r="B12" s="15">
        <v>45856</v>
      </c>
      <c r="C12" s="113">
        <f>+C11+F11</f>
        <v>11641.6</v>
      </c>
      <c r="D12" s="16">
        <f>+E11</f>
        <v>11641.6</v>
      </c>
      <c r="E12" s="16">
        <v>11650.2</v>
      </c>
      <c r="F12" s="17">
        <f t="shared" si="0"/>
        <v>8.6000000000003638</v>
      </c>
      <c r="G12" s="18">
        <v>52.027000000000001</v>
      </c>
      <c r="H12" s="52"/>
      <c r="I12" s="24" t="s">
        <v>127</v>
      </c>
    </row>
    <row r="13" spans="1:9" s="21" customFormat="1" ht="15" customHeight="1">
      <c r="A13" s="14" t="s">
        <v>148</v>
      </c>
      <c r="B13" s="15">
        <v>45856</v>
      </c>
      <c r="C13" s="113">
        <f>+C12+4</f>
        <v>11645.6</v>
      </c>
      <c r="D13" s="16"/>
      <c r="E13" s="16"/>
      <c r="F13" s="17" t="str">
        <f t="shared" si="0"/>
        <v/>
      </c>
      <c r="G13" s="18">
        <v>52.39</v>
      </c>
      <c r="H13" s="52"/>
      <c r="I13" s="24" t="s">
        <v>128</v>
      </c>
    </row>
    <row r="14" spans="1:9" s="21" customFormat="1" ht="15" customHeight="1">
      <c r="A14" s="14" t="s">
        <v>148</v>
      </c>
      <c r="B14" s="15">
        <v>45856</v>
      </c>
      <c r="C14" s="113">
        <v>11650.2</v>
      </c>
      <c r="D14" s="26"/>
      <c r="F14" s="17" t="str">
        <f t="shared" si="0"/>
        <v/>
      </c>
      <c r="G14" s="18">
        <v>52.227800000000002</v>
      </c>
      <c r="H14" s="52"/>
      <c r="I14" s="24" t="s">
        <v>130</v>
      </c>
    </row>
    <row r="15" spans="1:9" s="21" customFormat="1" ht="15" customHeight="1">
      <c r="A15" s="14" t="s">
        <v>149</v>
      </c>
      <c r="B15" s="15">
        <v>45857</v>
      </c>
      <c r="C15" s="113"/>
      <c r="D15" s="16">
        <f>+E12</f>
        <v>11650.2</v>
      </c>
      <c r="E15" s="16">
        <v>11659</v>
      </c>
      <c r="F15" s="17">
        <f t="shared" si="0"/>
        <v>8.7999999999992724</v>
      </c>
      <c r="G15" s="18"/>
      <c r="H15" s="52"/>
      <c r="I15" s="26"/>
    </row>
    <row r="16" spans="1:9" ht="15" customHeight="1">
      <c r="A16" s="9" t="s">
        <v>150</v>
      </c>
      <c r="B16" s="3">
        <v>45858</v>
      </c>
      <c r="C16" s="4"/>
      <c r="D16" s="4">
        <f>+E15</f>
        <v>11659</v>
      </c>
      <c r="E16" s="4">
        <v>11666.4</v>
      </c>
      <c r="F16" s="17">
        <f t="shared" si="0"/>
        <v>7.3999999999996362</v>
      </c>
      <c r="G16" s="10"/>
      <c r="H16" s="52"/>
      <c r="I16" s="6"/>
    </row>
    <row r="17" spans="1:11" ht="15" customHeight="1">
      <c r="A17" s="9" t="s">
        <v>151</v>
      </c>
      <c r="B17" s="3">
        <v>45859</v>
      </c>
      <c r="C17" s="4">
        <v>11666.6</v>
      </c>
      <c r="D17" s="4">
        <f>+E16</f>
        <v>11666.4</v>
      </c>
      <c r="E17" s="4">
        <v>11676</v>
      </c>
      <c r="F17" s="17">
        <f t="shared" si="0"/>
        <v>9.6000000000003638</v>
      </c>
      <c r="G17" s="10">
        <v>72.83</v>
      </c>
      <c r="H17" s="52"/>
      <c r="I17" s="36" t="s">
        <v>58</v>
      </c>
    </row>
    <row r="18" spans="1:11" ht="15" customHeight="1">
      <c r="A18" s="9"/>
      <c r="B18" s="3"/>
      <c r="C18" s="114">
        <f>+C17-C10</f>
        <v>43.300000000001091</v>
      </c>
      <c r="D18" s="111"/>
      <c r="E18" s="111"/>
      <c r="F18" s="100"/>
      <c r="G18" s="35">
        <f>SUM(G11:G17)</f>
        <v>279.47480000000002</v>
      </c>
      <c r="H18" s="52">
        <f>+G18/C18</f>
        <v>6.454383371824318</v>
      </c>
      <c r="I18" s="36" t="s">
        <v>90</v>
      </c>
    </row>
    <row r="19" spans="1:11" ht="15" customHeight="1">
      <c r="A19" s="9" t="s">
        <v>152</v>
      </c>
      <c r="B19" s="3">
        <v>45860</v>
      </c>
      <c r="C19" s="4">
        <v>11676.1</v>
      </c>
      <c r="D19" s="4">
        <f>+E17</f>
        <v>11676</v>
      </c>
      <c r="E19" s="4">
        <v>11682</v>
      </c>
      <c r="F19" s="17">
        <f t="shared" si="0"/>
        <v>6</v>
      </c>
      <c r="G19" s="10">
        <v>70.36</v>
      </c>
      <c r="H19" s="115">
        <f>+G19/(C19-C17)</f>
        <v>7.406315789473684</v>
      </c>
      <c r="I19" s="6" t="s">
        <v>58</v>
      </c>
    </row>
    <row r="20" spans="1:11" ht="15" customHeight="1">
      <c r="A20" s="9" t="s">
        <v>153</v>
      </c>
      <c r="B20" s="3">
        <v>45860</v>
      </c>
      <c r="C20" s="4"/>
      <c r="D20" s="4">
        <f>+E19</f>
        <v>11682</v>
      </c>
      <c r="E20" s="4">
        <v>11687</v>
      </c>
      <c r="F20" s="17">
        <f t="shared" si="0"/>
        <v>5</v>
      </c>
      <c r="G20" s="10"/>
      <c r="H20" s="52"/>
      <c r="I20" s="6" t="s">
        <v>129</v>
      </c>
    </row>
    <row r="21" spans="1:11" ht="15" customHeight="1">
      <c r="A21" s="9" t="s">
        <v>154</v>
      </c>
      <c r="B21" s="3">
        <v>45861</v>
      </c>
      <c r="D21" s="4">
        <f>+E20</f>
        <v>11687</v>
      </c>
      <c r="E21" s="4">
        <v>11694.7</v>
      </c>
      <c r="F21" s="17">
        <f t="shared" si="0"/>
        <v>7.7000000000007276</v>
      </c>
      <c r="G21" s="6"/>
      <c r="H21" s="6"/>
      <c r="I21" s="6"/>
    </row>
    <row r="22" spans="1:11" ht="15" customHeight="1">
      <c r="A22" s="9" t="s">
        <v>146</v>
      </c>
      <c r="B22" s="3">
        <v>45861</v>
      </c>
      <c r="C22" s="4">
        <v>11695</v>
      </c>
      <c r="D22" s="4">
        <f>+E21</f>
        <v>11694.7</v>
      </c>
      <c r="E22" s="4">
        <v>11700.8</v>
      </c>
      <c r="F22" s="5">
        <f t="shared" si="0"/>
        <v>6.0999999999985448</v>
      </c>
      <c r="G22" s="10">
        <f>95</f>
        <v>95</v>
      </c>
      <c r="H22" s="52"/>
      <c r="I22" s="6" t="s">
        <v>129</v>
      </c>
    </row>
    <row r="23" spans="1:11" ht="15" customHeight="1">
      <c r="A23" s="9" t="s">
        <v>155</v>
      </c>
      <c r="B23" s="3">
        <v>45862</v>
      </c>
      <c r="C23" s="4"/>
      <c r="D23" s="4">
        <f>+E22</f>
        <v>11700.8</v>
      </c>
      <c r="E23" s="4">
        <v>11709.4</v>
      </c>
      <c r="F23" s="5">
        <f t="shared" si="0"/>
        <v>8.6000000000003638</v>
      </c>
      <c r="G23" s="10"/>
      <c r="H23" s="52"/>
      <c r="I23" s="6"/>
    </row>
    <row r="24" spans="1:11" ht="15" customHeight="1">
      <c r="A24" s="9" t="s">
        <v>145</v>
      </c>
      <c r="B24" s="3">
        <v>45862</v>
      </c>
      <c r="C24" s="4">
        <v>11710.6</v>
      </c>
      <c r="D24" s="4">
        <f>+E23</f>
        <v>11709.4</v>
      </c>
      <c r="E24" s="4">
        <v>11717.1</v>
      </c>
      <c r="F24" s="5">
        <f t="shared" si="0"/>
        <v>7.7000000000007276</v>
      </c>
      <c r="G24" s="10">
        <v>119.82</v>
      </c>
      <c r="H24" s="52"/>
      <c r="I24" s="6" t="s">
        <v>131</v>
      </c>
    </row>
    <row r="25" spans="1:11" ht="15" customHeight="1">
      <c r="A25" s="9"/>
      <c r="B25" s="3"/>
      <c r="C25" s="111">
        <f>+C24-C19</f>
        <v>34.5</v>
      </c>
      <c r="D25" s="111"/>
      <c r="E25" s="111"/>
      <c r="F25" s="5" t="str">
        <f t="shared" si="0"/>
        <v/>
      </c>
      <c r="G25" s="35">
        <f>+G24+G22</f>
        <v>214.82</v>
      </c>
      <c r="H25" s="52">
        <f>+G25/C25</f>
        <v>6.2266666666666666</v>
      </c>
      <c r="I25" s="36" t="s">
        <v>90</v>
      </c>
    </row>
    <row r="26" spans="1:11" ht="15" customHeight="1">
      <c r="A26" s="9" t="s">
        <v>144</v>
      </c>
      <c r="B26" s="3">
        <v>45863</v>
      </c>
      <c r="C26" s="4">
        <v>11725.6</v>
      </c>
      <c r="D26" s="4">
        <f>+E24</f>
        <v>11717.1</v>
      </c>
      <c r="E26" s="4">
        <v>11725.6</v>
      </c>
      <c r="F26" s="5">
        <f t="shared" si="0"/>
        <v>8.5</v>
      </c>
      <c r="G26" s="10">
        <v>118.76</v>
      </c>
      <c r="H26" s="52">
        <f>+G26/(C26-C24)</f>
        <v>7.9173333333333336</v>
      </c>
      <c r="I26" s="36" t="s">
        <v>58</v>
      </c>
    </row>
    <row r="27" spans="1:11" ht="15" customHeight="1">
      <c r="A27" s="9" t="s">
        <v>143</v>
      </c>
      <c r="B27" s="3">
        <v>45863</v>
      </c>
      <c r="D27" s="4">
        <f t="shared" ref="D27:D36" si="1">+E26</f>
        <v>11725.6</v>
      </c>
      <c r="E27" s="4">
        <v>11735.8</v>
      </c>
      <c r="F27" s="5">
        <f t="shared" ref="F27:F33" si="2">IF(D27="","",E27-D27)</f>
        <v>10.199999999998909</v>
      </c>
      <c r="G27" s="1"/>
      <c r="H27" s="115"/>
      <c r="I27" s="6" t="s">
        <v>133</v>
      </c>
    </row>
    <row r="28" spans="1:11" ht="15" customHeight="1">
      <c r="A28" s="9" t="s">
        <v>142</v>
      </c>
      <c r="B28" s="3">
        <v>45864</v>
      </c>
      <c r="C28" s="4">
        <v>11741.2</v>
      </c>
      <c r="D28" s="4">
        <f t="shared" si="1"/>
        <v>11735.8</v>
      </c>
      <c r="E28" s="4">
        <v>11742.3</v>
      </c>
      <c r="F28" s="5">
        <f t="shared" si="2"/>
        <v>6.5</v>
      </c>
      <c r="G28" s="10">
        <v>124.36</v>
      </c>
      <c r="H28" s="52">
        <f>+G28/(C28-C26)</f>
        <v>7.9717948717946863</v>
      </c>
      <c r="I28" s="36" t="s">
        <v>58</v>
      </c>
      <c r="K28" s="1" t="s">
        <v>125</v>
      </c>
    </row>
    <row r="29" spans="1:11" ht="15" customHeight="1">
      <c r="A29" s="9" t="s">
        <v>141</v>
      </c>
      <c r="B29" s="3">
        <v>45864</v>
      </c>
      <c r="C29" s="4"/>
      <c r="D29" s="4">
        <f t="shared" si="1"/>
        <v>11742.3</v>
      </c>
      <c r="E29" s="4">
        <v>11749.4</v>
      </c>
      <c r="F29" s="5">
        <f t="shared" si="2"/>
        <v>7.1000000000003638</v>
      </c>
      <c r="G29" s="10"/>
      <c r="H29" s="52"/>
      <c r="I29" s="6" t="s">
        <v>134</v>
      </c>
    </row>
    <row r="30" spans="1:11" ht="15" customHeight="1">
      <c r="A30" s="9" t="s">
        <v>139</v>
      </c>
      <c r="B30" s="3">
        <v>45868</v>
      </c>
      <c r="D30" s="4">
        <f t="shared" si="1"/>
        <v>11749.4</v>
      </c>
      <c r="E30" s="4">
        <v>11754.3</v>
      </c>
      <c r="F30" s="5">
        <f t="shared" si="2"/>
        <v>4.8999999999996362</v>
      </c>
      <c r="G30" s="1"/>
      <c r="H30" s="115"/>
      <c r="I30" s="6"/>
    </row>
    <row r="31" spans="1:11" ht="15" customHeight="1">
      <c r="A31" s="9" t="s">
        <v>138</v>
      </c>
      <c r="B31" s="3">
        <v>45868</v>
      </c>
      <c r="C31" s="4">
        <v>11757.4</v>
      </c>
      <c r="D31" s="4">
        <f t="shared" si="1"/>
        <v>11754.3</v>
      </c>
      <c r="E31" s="4">
        <v>11762.7</v>
      </c>
      <c r="F31" s="5">
        <f t="shared" si="2"/>
        <v>8.4000000000014552</v>
      </c>
      <c r="G31" s="10">
        <v>82</v>
      </c>
      <c r="H31" s="115">
        <f>+G31/(C31-C28)</f>
        <v>5.0617283950620697</v>
      </c>
      <c r="I31" s="6" t="s">
        <v>135</v>
      </c>
    </row>
    <row r="32" spans="1:11" ht="15" customHeight="1">
      <c r="A32" s="9" t="s">
        <v>137</v>
      </c>
      <c r="B32" s="3">
        <v>45869</v>
      </c>
      <c r="C32" s="4">
        <v>11767</v>
      </c>
      <c r="D32" s="4">
        <f t="shared" si="1"/>
        <v>11762.7</v>
      </c>
      <c r="E32" s="4">
        <v>11771.8</v>
      </c>
      <c r="F32" s="5">
        <f t="shared" si="2"/>
        <v>9.0999999999985448</v>
      </c>
      <c r="G32" s="10">
        <v>101.47</v>
      </c>
      <c r="H32" s="115">
        <f>+G32/(C32-C31)</f>
        <v>10.569791666666266</v>
      </c>
      <c r="I32" s="6"/>
      <c r="K32" s="1">
        <f>+J17/J78</f>
        <v>0</v>
      </c>
    </row>
    <row r="33" spans="1:9" ht="15" customHeight="1">
      <c r="A33" s="9" t="s">
        <v>136</v>
      </c>
      <c r="B33" s="3">
        <v>45869</v>
      </c>
      <c r="C33" s="4"/>
      <c r="D33" s="4">
        <f t="shared" si="1"/>
        <v>11771.8</v>
      </c>
      <c r="E33" s="4">
        <v>11780.8</v>
      </c>
      <c r="F33" s="5">
        <f t="shared" si="2"/>
        <v>9</v>
      </c>
      <c r="G33" s="10"/>
      <c r="H33" s="52"/>
      <c r="I33" s="6" t="s">
        <v>135</v>
      </c>
    </row>
    <row r="34" spans="1:9" ht="15" customHeight="1">
      <c r="A34" s="9"/>
      <c r="B34" s="3">
        <v>45870</v>
      </c>
      <c r="C34" s="4"/>
      <c r="D34" s="4">
        <f t="shared" si="1"/>
        <v>11780.8</v>
      </c>
      <c r="E34" s="4"/>
      <c r="F34" s="5"/>
      <c r="G34" s="10"/>
      <c r="H34" s="52"/>
      <c r="I34" s="6"/>
    </row>
    <row r="35" spans="1:9" ht="15" customHeight="1">
      <c r="A35" s="9"/>
      <c r="B35" s="3">
        <v>45870</v>
      </c>
      <c r="C35" s="4"/>
      <c r="D35" s="4">
        <v>11782.1</v>
      </c>
      <c r="E35" s="4">
        <v>11782.1</v>
      </c>
      <c r="F35" s="5">
        <f>IF(D35="","",E35-D35)</f>
        <v>0</v>
      </c>
      <c r="G35" s="10"/>
      <c r="H35" s="52"/>
      <c r="I35" s="6"/>
    </row>
    <row r="36" spans="1:9" ht="15" customHeight="1">
      <c r="A36" s="9"/>
      <c r="B36" s="3">
        <v>45871</v>
      </c>
      <c r="C36" s="4">
        <v>11782.1</v>
      </c>
      <c r="D36" s="4">
        <f t="shared" si="1"/>
        <v>11782.1</v>
      </c>
      <c r="E36" s="4"/>
      <c r="F36" s="5">
        <f>IF(D36="","",E36-D36)</f>
        <v>-11782.1</v>
      </c>
      <c r="G36" s="10">
        <v>116.75</v>
      </c>
      <c r="H36" s="52"/>
      <c r="I36" s="6" t="s">
        <v>196</v>
      </c>
    </row>
    <row r="37" spans="1:9" ht="15" customHeight="1">
      <c r="A37" s="9"/>
      <c r="B37" s="3">
        <v>45871</v>
      </c>
      <c r="C37" s="4"/>
      <c r="D37" s="4">
        <v>11791.1</v>
      </c>
      <c r="E37" s="4">
        <v>11795.6</v>
      </c>
      <c r="F37" s="5">
        <f t="shared" ref="F37" si="3">IF(D37="","",E37-D37)</f>
        <v>4.5</v>
      </c>
      <c r="G37" s="10"/>
      <c r="H37" s="52"/>
      <c r="I37" s="6"/>
    </row>
    <row r="38" spans="1:9" ht="15" customHeight="1">
      <c r="A38" s="9"/>
      <c r="B38" s="3">
        <v>45872</v>
      </c>
      <c r="C38" s="4">
        <v>11795.7</v>
      </c>
      <c r="D38" s="4">
        <v>11801.9</v>
      </c>
      <c r="E38" s="4">
        <v>11807.4</v>
      </c>
      <c r="F38" s="5">
        <f t="shared" si="0"/>
        <v>5.5</v>
      </c>
      <c r="G38" s="10">
        <v>57.780999999999999</v>
      </c>
      <c r="H38" s="52"/>
      <c r="I38" s="6" t="s">
        <v>196</v>
      </c>
    </row>
    <row r="39" spans="1:9" ht="15" customHeight="1">
      <c r="A39" s="9"/>
      <c r="B39" s="3">
        <v>45872</v>
      </c>
      <c r="C39" s="4">
        <v>11801.8</v>
      </c>
      <c r="D39" s="4"/>
      <c r="E39" s="4"/>
      <c r="F39" s="5" t="str">
        <f t="shared" si="0"/>
        <v/>
      </c>
      <c r="G39" s="10">
        <v>110</v>
      </c>
      <c r="H39" s="52"/>
      <c r="I39" s="6" t="s">
        <v>196</v>
      </c>
    </row>
    <row r="40" spans="1:9" ht="15" customHeight="1">
      <c r="A40" s="9"/>
      <c r="B40" s="3">
        <v>45873</v>
      </c>
      <c r="C40" s="4">
        <v>11812.1</v>
      </c>
      <c r="D40" s="4"/>
      <c r="E40" s="4"/>
      <c r="F40" s="5"/>
      <c r="G40" s="10">
        <v>76.95</v>
      </c>
      <c r="H40" s="52">
        <f>+G40/(C40-C39)</f>
        <v>7.4708737864069761</v>
      </c>
      <c r="I40" s="6" t="s">
        <v>241</v>
      </c>
    </row>
    <row r="41" spans="1:9" ht="15" customHeight="1">
      <c r="A41" s="9"/>
      <c r="B41" s="3"/>
      <c r="C41" s="4"/>
      <c r="D41" s="4"/>
      <c r="E41" s="4"/>
      <c r="F41" s="5"/>
      <c r="G41" s="10"/>
      <c r="H41" s="52"/>
      <c r="I41" s="6"/>
    </row>
    <row r="42" spans="1:9" ht="15" customHeight="1">
      <c r="A42" s="9"/>
      <c r="B42" s="3">
        <v>45873</v>
      </c>
      <c r="C42" s="4"/>
      <c r="D42" s="4">
        <v>11816.2</v>
      </c>
      <c r="E42" s="4">
        <v>11824.1</v>
      </c>
      <c r="F42" s="5">
        <f t="shared" si="0"/>
        <v>7.8999999999996362</v>
      </c>
      <c r="G42" s="10"/>
      <c r="H42" s="52"/>
      <c r="I42" s="6"/>
    </row>
    <row r="43" spans="1:9" ht="15" customHeight="1">
      <c r="A43" s="9"/>
      <c r="B43" s="3">
        <v>45874</v>
      </c>
      <c r="C43" s="4">
        <v>11828.7</v>
      </c>
      <c r="D43" s="4"/>
      <c r="E43" s="4"/>
      <c r="F43" s="5"/>
      <c r="G43" s="10">
        <v>99.88</v>
      </c>
      <c r="H43" s="52">
        <f>+G43/(C43-C40)</f>
        <v>6.0168674698793856</v>
      </c>
      <c r="I43" s="6" t="s">
        <v>241</v>
      </c>
    </row>
    <row r="44" spans="1:9" ht="15" customHeight="1">
      <c r="A44" s="9"/>
      <c r="B44" s="3">
        <v>45844</v>
      </c>
      <c r="C44" s="4"/>
      <c r="D44" s="4"/>
      <c r="E44" s="4"/>
      <c r="F44" s="5"/>
      <c r="G44" s="10"/>
      <c r="H44" s="52"/>
      <c r="I44" s="6"/>
    </row>
    <row r="45" spans="1:9" ht="15" customHeight="1">
      <c r="A45" s="9"/>
      <c r="B45" s="3">
        <v>45876</v>
      </c>
      <c r="C45" s="4"/>
      <c r="D45" s="4"/>
      <c r="E45" s="4"/>
      <c r="F45" s="5"/>
      <c r="G45" s="10"/>
      <c r="H45" s="52"/>
      <c r="I45" s="6"/>
    </row>
    <row r="46" spans="1:9" ht="15" customHeight="1">
      <c r="A46" s="9"/>
      <c r="B46" s="3">
        <v>45876</v>
      </c>
      <c r="C46" s="4">
        <v>11854</v>
      </c>
      <c r="D46" s="4"/>
      <c r="E46" s="4"/>
      <c r="F46" s="5"/>
      <c r="G46" s="10">
        <v>125.77</v>
      </c>
      <c r="H46" s="52">
        <f>+G46/(C46-C43)</f>
        <v>4.9711462450594315</v>
      </c>
      <c r="I46" s="6"/>
    </row>
    <row r="47" spans="1:9" ht="15" customHeight="1">
      <c r="A47" s="9"/>
      <c r="B47" s="3">
        <v>45878</v>
      </c>
      <c r="C47" s="4">
        <v>11873.5</v>
      </c>
      <c r="D47" s="4"/>
      <c r="E47" s="4"/>
      <c r="F47" s="5"/>
      <c r="G47" s="10">
        <v>121.7</v>
      </c>
      <c r="H47" s="52">
        <f>+G47/(C47-C46)</f>
        <v>6.2410256410256411</v>
      </c>
      <c r="I47" s="6" t="s">
        <v>241</v>
      </c>
    </row>
    <row r="48" spans="1:9" ht="15" customHeight="1">
      <c r="A48" s="9"/>
      <c r="B48" s="3"/>
      <c r="C48" s="111">
        <f>+C47-C43</f>
        <v>44.799999999999272</v>
      </c>
      <c r="D48" s="111"/>
      <c r="E48" s="111"/>
      <c r="F48" s="121"/>
      <c r="G48" s="35">
        <f>+G47+G46</f>
        <v>247.47</v>
      </c>
      <c r="H48" s="52">
        <f>+G48/C48</f>
        <v>5.523883928571518</v>
      </c>
      <c r="I48" s="36" t="s">
        <v>90</v>
      </c>
    </row>
    <row r="49" spans="1:9" ht="15" customHeight="1">
      <c r="A49" s="9"/>
      <c r="B49" s="3">
        <v>45881</v>
      </c>
      <c r="C49" s="4">
        <v>11894.7</v>
      </c>
      <c r="D49" s="4"/>
      <c r="E49" s="4"/>
      <c r="F49" s="5"/>
      <c r="G49" s="10">
        <v>84.55</v>
      </c>
      <c r="H49" s="52"/>
      <c r="I49" s="6" t="s">
        <v>247</v>
      </c>
    </row>
    <row r="50" spans="1:9" ht="15" customHeight="1">
      <c r="A50" s="9"/>
      <c r="B50" s="3">
        <v>45881</v>
      </c>
      <c r="C50" s="4">
        <v>11906.3</v>
      </c>
      <c r="D50" s="4"/>
      <c r="E50" s="4"/>
      <c r="F50" s="5"/>
      <c r="G50" s="10">
        <v>122.71</v>
      </c>
      <c r="H50" s="52"/>
      <c r="I50" s="6"/>
    </row>
    <row r="51" spans="1:9" ht="15" customHeight="1">
      <c r="A51" s="9"/>
      <c r="B51" s="3">
        <v>45883</v>
      </c>
      <c r="C51" s="4">
        <v>11922</v>
      </c>
      <c r="D51" s="4"/>
      <c r="E51" s="4"/>
      <c r="F51" s="5"/>
      <c r="G51" s="10">
        <v>91.63</v>
      </c>
      <c r="H51" s="52"/>
      <c r="I51" s="6" t="s">
        <v>241</v>
      </c>
    </row>
    <row r="52" spans="1:9" ht="15" customHeight="1">
      <c r="A52" s="9"/>
      <c r="B52" s="3"/>
      <c r="C52" s="111">
        <f>+C51-C47</f>
        <v>48.5</v>
      </c>
      <c r="D52" s="111"/>
      <c r="E52" s="111"/>
      <c r="F52" s="121"/>
      <c r="G52" s="35">
        <f>SUM(G49:G51)</f>
        <v>298.89</v>
      </c>
      <c r="H52" s="52">
        <f>+G52/C52</f>
        <v>6.1626804123711336</v>
      </c>
      <c r="I52" s="36" t="s">
        <v>90</v>
      </c>
    </row>
    <row r="53" spans="1:9" ht="15" customHeight="1">
      <c r="A53" s="9"/>
      <c r="B53" s="3">
        <v>45884</v>
      </c>
      <c r="C53" s="4">
        <v>11932.2</v>
      </c>
      <c r="D53" s="4"/>
      <c r="E53" s="4"/>
      <c r="F53" s="5"/>
      <c r="G53" s="10">
        <v>91.4</v>
      </c>
      <c r="H53" s="52">
        <f>+G53/(C53-C51)</f>
        <v>8.9607843137248508</v>
      </c>
      <c r="I53" s="6"/>
    </row>
    <row r="54" spans="1:9" ht="15" customHeight="1">
      <c r="A54" s="9"/>
      <c r="B54" s="3">
        <v>45885</v>
      </c>
      <c r="C54" s="4">
        <v>11944.8</v>
      </c>
      <c r="D54" s="4"/>
      <c r="E54" s="4"/>
      <c r="F54" s="5"/>
      <c r="G54" s="10">
        <v>80</v>
      </c>
      <c r="H54" s="52"/>
      <c r="I54" s="6" t="s">
        <v>241</v>
      </c>
    </row>
    <row r="55" spans="1:9" ht="15" customHeight="1">
      <c r="A55" s="9"/>
      <c r="B55" s="3">
        <v>45885</v>
      </c>
      <c r="C55" s="4"/>
      <c r="D55" s="4"/>
      <c r="E55" s="4"/>
      <c r="F55" s="5"/>
      <c r="G55" s="124">
        <v>39</v>
      </c>
      <c r="H55" s="52"/>
      <c r="I55" s="6" t="s">
        <v>249</v>
      </c>
    </row>
    <row r="56" spans="1:9" ht="15" customHeight="1">
      <c r="A56" s="9"/>
      <c r="B56" s="3">
        <v>45887</v>
      </c>
      <c r="C56" s="4">
        <v>11955.1</v>
      </c>
      <c r="D56" s="4"/>
      <c r="E56" s="4"/>
      <c r="F56" s="5" t="str">
        <f t="shared" ref="F56" si="4">IF(D56="","",E56-D56)</f>
        <v/>
      </c>
      <c r="G56" s="10">
        <v>89</v>
      </c>
      <c r="H56" s="52">
        <f>+G56/(C56-C54)</f>
        <v>8.6407766990282102</v>
      </c>
      <c r="I56" s="6" t="s">
        <v>241</v>
      </c>
    </row>
    <row r="57" spans="1:9" ht="15" customHeight="1">
      <c r="A57" s="9"/>
      <c r="B57" s="3">
        <v>45888</v>
      </c>
      <c r="C57" s="4">
        <v>11964.3</v>
      </c>
      <c r="D57" s="4"/>
      <c r="E57" s="4"/>
      <c r="F57" s="5"/>
      <c r="G57" s="10">
        <v>67.260000000000005</v>
      </c>
      <c r="H57" s="52">
        <f t="shared" ref="H57:H61" si="5">+G57/(C57-C56)</f>
        <v>7.3108695652182591</v>
      </c>
      <c r="I57" s="6" t="s">
        <v>241</v>
      </c>
    </row>
    <row r="58" spans="1:9" ht="15" customHeight="1">
      <c r="A58" s="9"/>
      <c r="B58" s="3">
        <v>45889</v>
      </c>
      <c r="C58" s="4">
        <v>11988</v>
      </c>
      <c r="D58" s="4"/>
      <c r="E58" s="4"/>
      <c r="F58" s="5"/>
      <c r="G58" s="10">
        <v>91</v>
      </c>
      <c r="H58" s="52"/>
      <c r="I58" s="6" t="s">
        <v>255</v>
      </c>
    </row>
    <row r="59" spans="1:9" ht="15" customHeight="1">
      <c r="A59" s="9"/>
      <c r="B59" s="3">
        <v>45891</v>
      </c>
      <c r="C59" s="4">
        <v>12001</v>
      </c>
      <c r="D59" s="4"/>
      <c r="E59" s="4"/>
      <c r="F59" s="5"/>
      <c r="G59" s="10">
        <v>100.6</v>
      </c>
      <c r="H59" s="52">
        <f t="shared" si="5"/>
        <v>7.7384615384615376</v>
      </c>
      <c r="I59" s="6" t="s">
        <v>241</v>
      </c>
    </row>
    <row r="60" spans="1:9" ht="15" customHeight="1">
      <c r="A60" s="9"/>
      <c r="B60" s="3">
        <v>45892</v>
      </c>
      <c r="C60" s="4">
        <v>12015.1</v>
      </c>
      <c r="D60" s="4"/>
      <c r="E60" s="4"/>
      <c r="F60" s="5"/>
      <c r="G60" s="10">
        <v>50.16</v>
      </c>
      <c r="H60" s="52"/>
      <c r="I60" s="6" t="s">
        <v>255</v>
      </c>
    </row>
    <row r="61" spans="1:9" ht="15" customHeight="1">
      <c r="A61" s="9"/>
      <c r="B61" s="3">
        <v>45894</v>
      </c>
      <c r="C61" s="4">
        <v>12024</v>
      </c>
      <c r="D61" s="4"/>
      <c r="E61" s="4"/>
      <c r="F61" s="5"/>
      <c r="G61" s="10">
        <v>54.9</v>
      </c>
      <c r="H61" s="52">
        <f t="shared" si="5"/>
        <v>6.1685393258429482</v>
      </c>
      <c r="I61" s="6" t="s">
        <v>241</v>
      </c>
    </row>
    <row r="62" spans="1:9" ht="15" customHeight="1">
      <c r="A62" s="9"/>
      <c r="B62" s="3">
        <v>45895</v>
      </c>
      <c r="C62" s="4">
        <v>12029.9</v>
      </c>
      <c r="D62" s="4"/>
      <c r="E62" s="4"/>
      <c r="F62" s="5"/>
      <c r="G62" s="10">
        <v>67.8</v>
      </c>
      <c r="H62" s="52">
        <f t="shared" ref="H62:H67" si="6">+G62/(C62-C61)</f>
        <v>11.491525423729522</v>
      </c>
      <c r="I62" s="6" t="s">
        <v>241</v>
      </c>
    </row>
    <row r="63" spans="1:9" ht="15" customHeight="1">
      <c r="A63" s="9"/>
      <c r="B63" s="3">
        <v>45896</v>
      </c>
      <c r="C63" s="4">
        <v>12038.3</v>
      </c>
      <c r="D63" s="4"/>
      <c r="E63" s="4"/>
      <c r="F63" s="5"/>
      <c r="G63" s="10">
        <v>100.11</v>
      </c>
      <c r="H63" s="52">
        <f t="shared" si="6"/>
        <v>11.91785714285766</v>
      </c>
      <c r="I63" s="6" t="s">
        <v>241</v>
      </c>
    </row>
    <row r="64" spans="1:9" ht="15" customHeight="1">
      <c r="A64" s="9"/>
      <c r="B64" s="3">
        <v>45897</v>
      </c>
      <c r="C64" s="4">
        <v>12050.1</v>
      </c>
      <c r="D64" s="4"/>
      <c r="E64" s="4"/>
      <c r="F64" s="5"/>
      <c r="G64" s="10">
        <v>77.11</v>
      </c>
      <c r="H64" s="52">
        <f t="shared" si="6"/>
        <v>6.5347457627112604</v>
      </c>
      <c r="I64" s="6" t="s">
        <v>241</v>
      </c>
    </row>
    <row r="65" spans="1:10" ht="15" customHeight="1">
      <c r="A65" s="9"/>
      <c r="B65" s="3">
        <v>45898</v>
      </c>
      <c r="C65" s="4">
        <v>12061.3</v>
      </c>
      <c r="D65" s="4"/>
      <c r="E65" s="4"/>
      <c r="F65" s="5"/>
      <c r="G65" s="10">
        <v>60.82</v>
      </c>
      <c r="H65" s="52"/>
      <c r="I65" s="6" t="s">
        <v>255</v>
      </c>
    </row>
    <row r="66" spans="1:10" ht="15" customHeight="1">
      <c r="A66" s="9"/>
      <c r="B66" s="3">
        <v>45900</v>
      </c>
      <c r="C66" s="4">
        <v>12065.8</v>
      </c>
      <c r="D66" s="4"/>
      <c r="E66" s="4"/>
      <c r="F66" s="5"/>
      <c r="G66" s="10">
        <v>50.34</v>
      </c>
      <c r="H66" s="52"/>
      <c r="I66" s="6" t="s">
        <v>255</v>
      </c>
    </row>
    <row r="67" spans="1:10" ht="15" customHeight="1">
      <c r="A67" s="9"/>
      <c r="B67" s="3">
        <v>45902</v>
      </c>
      <c r="C67" s="4">
        <v>12076.7</v>
      </c>
      <c r="D67" s="4"/>
      <c r="E67" s="4"/>
      <c r="F67" s="5"/>
      <c r="G67" s="10">
        <v>66</v>
      </c>
      <c r="H67" s="52">
        <f t="shared" si="6"/>
        <v>6.0550458715588249</v>
      </c>
      <c r="I67" s="6" t="s">
        <v>241</v>
      </c>
    </row>
    <row r="68" spans="1:10" ht="15" customHeight="1">
      <c r="A68" s="9"/>
      <c r="B68" s="3"/>
      <c r="C68" s="111">
        <f>+C67-C64</f>
        <v>26.600000000000364</v>
      </c>
      <c r="D68" s="111"/>
      <c r="E68" s="111"/>
      <c r="F68" s="121"/>
      <c r="G68" s="35">
        <f>SUM(G65:G67)</f>
        <v>177.16</v>
      </c>
      <c r="H68" s="52">
        <f>+G68/C68</f>
        <v>6.6601503759397582</v>
      </c>
      <c r="I68" s="36" t="s">
        <v>90</v>
      </c>
    </row>
    <row r="69" spans="1:10" ht="15" customHeight="1">
      <c r="A69" s="9"/>
      <c r="B69" s="3">
        <v>45904</v>
      </c>
      <c r="C69" s="4">
        <v>12092.9</v>
      </c>
      <c r="D69" s="4"/>
      <c r="E69" s="4"/>
      <c r="F69" s="5"/>
      <c r="G69" s="10">
        <v>98.05</v>
      </c>
      <c r="H69" s="52">
        <f>+G69/(C69-C67)</f>
        <v>6.0524691358028768</v>
      </c>
      <c r="I69" s="6" t="s">
        <v>241</v>
      </c>
    </row>
    <row r="70" spans="1:10" ht="15" customHeight="1">
      <c r="A70" s="9"/>
      <c r="B70" s="3">
        <v>45905</v>
      </c>
      <c r="C70" s="4">
        <v>12110</v>
      </c>
      <c r="D70" s="4"/>
      <c r="E70" s="4"/>
      <c r="F70" s="5"/>
      <c r="G70" s="10">
        <v>90.16</v>
      </c>
      <c r="H70" s="52">
        <f>+G70/(C70-C69)</f>
        <v>5.2725146198829282</v>
      </c>
      <c r="I70" s="6" t="s">
        <v>241</v>
      </c>
    </row>
    <row r="71" spans="1:10" ht="15" customHeight="1">
      <c r="A71" s="9"/>
      <c r="B71" s="3">
        <v>45907</v>
      </c>
      <c r="C71" s="4">
        <v>12126.7</v>
      </c>
      <c r="D71" s="4"/>
      <c r="E71" s="4"/>
      <c r="F71" s="5"/>
      <c r="G71" s="10">
        <v>109</v>
      </c>
      <c r="H71" s="52">
        <f>+G71/(C71-C70)</f>
        <v>6.5269461077841466</v>
      </c>
      <c r="I71" s="6" t="s">
        <v>241</v>
      </c>
    </row>
    <row r="72" spans="1:10" ht="15" customHeight="1">
      <c r="A72" s="9"/>
      <c r="B72" s="3">
        <v>45909</v>
      </c>
      <c r="C72" s="4">
        <v>12141.3</v>
      </c>
      <c r="D72" s="4"/>
      <c r="E72" s="4"/>
      <c r="F72" s="5"/>
      <c r="G72" s="10">
        <v>109</v>
      </c>
      <c r="H72" s="52">
        <f>+G72/(C72-C71)</f>
        <v>7.4657534246582786</v>
      </c>
      <c r="I72" s="6" t="s">
        <v>241</v>
      </c>
    </row>
    <row r="73" spans="1:10" ht="15" customHeight="1">
      <c r="A73" s="9"/>
      <c r="B73" s="3">
        <v>45910</v>
      </c>
      <c r="C73" s="4">
        <v>12151.8</v>
      </c>
      <c r="D73" s="4"/>
      <c r="E73" s="4"/>
      <c r="F73" s="5"/>
      <c r="G73" s="10">
        <v>76</v>
      </c>
      <c r="H73" s="52">
        <f>+G73/(C73-C72)</f>
        <v>7.2380952380952381</v>
      </c>
      <c r="I73" s="6" t="s">
        <v>241</v>
      </c>
    </row>
    <row r="74" spans="1:10" ht="15" customHeight="1">
      <c r="A74" s="9"/>
      <c r="B74" s="3">
        <v>45912</v>
      </c>
      <c r="C74" s="4">
        <v>12169</v>
      </c>
      <c r="D74" s="4"/>
      <c r="E74" s="4"/>
      <c r="F74" s="5"/>
      <c r="G74" s="10">
        <v>101</v>
      </c>
      <c r="H74" s="52"/>
      <c r="I74" s="6" t="s">
        <v>327</v>
      </c>
    </row>
    <row r="75" spans="1:10" ht="15" customHeight="1">
      <c r="A75" s="9"/>
      <c r="B75" s="3">
        <v>45913</v>
      </c>
      <c r="C75" s="4">
        <v>12186</v>
      </c>
      <c r="D75" s="4"/>
      <c r="E75" s="4"/>
      <c r="F75" s="5"/>
      <c r="G75" s="10">
        <f>17+16</f>
        <v>33</v>
      </c>
      <c r="H75" s="52"/>
      <c r="I75" s="6" t="s">
        <v>327</v>
      </c>
    </row>
    <row r="76" spans="1:10" ht="15" customHeight="1">
      <c r="A76" s="9"/>
      <c r="B76" s="3">
        <v>45913</v>
      </c>
      <c r="C76" s="4">
        <v>12189.8</v>
      </c>
      <c r="D76" s="4"/>
      <c r="E76" s="4"/>
      <c r="F76" s="5"/>
      <c r="G76" s="10">
        <v>102</v>
      </c>
      <c r="H76" s="52"/>
      <c r="I76" s="6" t="s">
        <v>241</v>
      </c>
    </row>
    <row r="77" spans="1:10" ht="15" customHeight="1">
      <c r="A77" s="9"/>
      <c r="B77" s="3"/>
      <c r="C77" s="111">
        <f>+C76-C73</f>
        <v>38</v>
      </c>
      <c r="D77" s="111"/>
      <c r="E77" s="111"/>
      <c r="F77" s="121"/>
      <c r="G77" s="35">
        <f>SUM(G74:G76)</f>
        <v>236</v>
      </c>
      <c r="H77" s="52">
        <f>+G77/C77</f>
        <v>6.2105263157894735</v>
      </c>
      <c r="I77" s="36" t="s">
        <v>90</v>
      </c>
      <c r="J77" s="1">
        <v>313.64999999999998</v>
      </c>
    </row>
    <row r="78" spans="1:10" ht="15" customHeight="1">
      <c r="A78" s="9"/>
      <c r="B78" s="3">
        <v>45915</v>
      </c>
      <c r="C78" s="4">
        <v>12207</v>
      </c>
      <c r="D78" s="111"/>
      <c r="E78" s="111"/>
      <c r="F78" s="121"/>
      <c r="G78" s="10">
        <v>123</v>
      </c>
      <c r="H78" s="52">
        <f>+G78/(C78-C76)</f>
        <v>7.1511627906973718</v>
      </c>
      <c r="I78" s="6" t="s">
        <v>241</v>
      </c>
      <c r="J78" s="112">
        <v>3.7854117839999999</v>
      </c>
    </row>
    <row r="79" spans="1:10" ht="15" customHeight="1">
      <c r="A79" s="9"/>
      <c r="B79" s="3">
        <v>45916</v>
      </c>
      <c r="C79" s="4">
        <v>12220.4</v>
      </c>
      <c r="D79" s="111"/>
      <c r="E79" s="111"/>
      <c r="F79" s="121"/>
      <c r="G79" s="10">
        <v>82</v>
      </c>
      <c r="H79" s="52">
        <f>+G79/(C79-C78)</f>
        <v>6.1194029850747933</v>
      </c>
      <c r="I79" s="6" t="s">
        <v>327</v>
      </c>
      <c r="J79" s="1">
        <f>+J77/J78</f>
        <v>82.857564222133249</v>
      </c>
    </row>
    <row r="80" spans="1:10" ht="15" customHeight="1">
      <c r="A80" s="9"/>
      <c r="B80" s="3"/>
      <c r="C80" s="4"/>
      <c r="D80" s="4"/>
      <c r="E80" s="4"/>
      <c r="F80" s="5"/>
      <c r="G80" s="10"/>
      <c r="H80" s="52" t="s">
        <v>104</v>
      </c>
      <c r="I80" s="6"/>
    </row>
    <row r="81" spans="1:9" ht="15" customHeight="1">
      <c r="A81" s="9"/>
      <c r="B81" s="3"/>
      <c r="C81" s="4"/>
      <c r="D81" s="4"/>
      <c r="E81" s="4"/>
      <c r="F81" s="5" t="str">
        <f t="shared" si="0"/>
        <v/>
      </c>
      <c r="G81" s="10"/>
      <c r="H81" s="52"/>
      <c r="I81" s="6"/>
    </row>
    <row r="82" spans="1:9" ht="14.45" customHeight="1">
      <c r="A82" s="146" t="s">
        <v>15</v>
      </c>
      <c r="B82" s="147"/>
      <c r="C82" s="147"/>
      <c r="D82" s="147"/>
      <c r="E82" s="148"/>
      <c r="F82" s="34">
        <f>SUM(F10:F81)</f>
        <v>-11606.7</v>
      </c>
      <c r="G82" s="35">
        <f>SUM(G10:G81)</f>
        <v>5616.4805999999999</v>
      </c>
      <c r="H82" s="11"/>
      <c r="I82" s="36" t="s">
        <v>16</v>
      </c>
    </row>
    <row r="83" spans="1:9">
      <c r="G83" s="127"/>
    </row>
  </sheetData>
  <mergeCells count="2">
    <mergeCell ref="B2:I2"/>
    <mergeCell ref="A82:E82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L109"/>
  <sheetViews>
    <sheetView showGridLines="0" topLeftCell="A54" zoomScale="115" zoomScaleNormal="115" zoomScaleSheetLayoutView="100" workbookViewId="0">
      <selection activeCell="D14" sqref="D14"/>
    </sheetView>
  </sheetViews>
  <sheetFormatPr baseColWidth="10" defaultColWidth="11.5703125" defaultRowHeight="12.75"/>
  <cols>
    <col min="1" max="1" width="12.28515625" style="1" customWidth="1"/>
    <col min="2" max="2" width="9.42578125" style="1" customWidth="1"/>
    <col min="3" max="3" width="13.7109375" style="1" customWidth="1"/>
    <col min="4" max="4" width="11.42578125" style="7" customWidth="1"/>
    <col min="5" max="5" width="12" style="7" customWidth="1"/>
    <col min="6" max="6" width="12.140625" style="1" customWidth="1"/>
    <col min="7" max="7" width="12.7109375" style="7" customWidth="1"/>
    <col min="8" max="8" width="11.7109375" style="8" hidden="1" customWidth="1"/>
    <col min="9" max="9" width="11" style="50" customWidth="1"/>
    <col min="10" max="10" width="43.85546875" style="1" customWidth="1"/>
    <col min="11" max="11" width="15" style="1" bestFit="1" customWidth="1"/>
    <col min="12" max="16384" width="11.5703125" style="1"/>
  </cols>
  <sheetData>
    <row r="2" spans="1:12" ht="32.450000000000003" customHeight="1">
      <c r="B2" s="145" t="s">
        <v>5</v>
      </c>
      <c r="C2" s="145"/>
      <c r="D2" s="145"/>
      <c r="E2" s="145"/>
      <c r="F2" s="145"/>
      <c r="G2" s="145"/>
      <c r="H2" s="145"/>
      <c r="I2" s="145"/>
      <c r="J2" s="145"/>
    </row>
    <row r="3" spans="1:12" ht="26.25" customHeight="1">
      <c r="A3" s="2" t="s">
        <v>11</v>
      </c>
      <c r="B3" s="162" t="s">
        <v>62</v>
      </c>
      <c r="C3" s="162"/>
      <c r="D3" s="162"/>
      <c r="E3" s="162"/>
      <c r="F3" s="162"/>
      <c r="G3" s="162"/>
      <c r="H3" s="162"/>
      <c r="I3" s="162"/>
      <c r="J3" s="162"/>
    </row>
    <row r="4" spans="1:12">
      <c r="A4" s="2" t="s">
        <v>8</v>
      </c>
      <c r="B4" s="1" t="s">
        <v>39</v>
      </c>
      <c r="D4" s="1"/>
      <c r="E4" s="1"/>
      <c r="G4" s="1"/>
      <c r="H4" s="1"/>
      <c r="I4" s="1"/>
      <c r="K4" s="1">
        <f>10.6+8.8+9.7+4.8</f>
        <v>33.9</v>
      </c>
      <c r="L4" s="1">
        <f>+K4*7</f>
        <v>237.29999999999998</v>
      </c>
    </row>
    <row r="5" spans="1:12">
      <c r="A5" s="2" t="s">
        <v>9</v>
      </c>
      <c r="B5" s="1" t="s">
        <v>59</v>
      </c>
      <c r="D5" s="1"/>
      <c r="E5" s="1"/>
      <c r="G5" s="1"/>
      <c r="H5" s="1"/>
      <c r="I5" s="1"/>
    </row>
    <row r="6" spans="1:12">
      <c r="A6" s="2" t="s">
        <v>10</v>
      </c>
      <c r="B6" s="1" t="s">
        <v>63</v>
      </c>
      <c r="D6" s="1"/>
      <c r="E6" s="1"/>
      <c r="G6" s="1"/>
      <c r="H6" s="1"/>
      <c r="I6" s="1"/>
      <c r="K6" s="1">
        <f>+K8*2</f>
        <v>34.665999999999997</v>
      </c>
    </row>
    <row r="7" spans="1:12" ht="8.25" customHeight="1">
      <c r="A7" s="2"/>
      <c r="D7" s="1"/>
      <c r="E7" s="1"/>
      <c r="G7" s="1"/>
      <c r="H7" s="1"/>
      <c r="I7" s="1"/>
      <c r="L7" s="1">
        <f>52/3</f>
        <v>17.333333333333332</v>
      </c>
    </row>
    <row r="8" spans="1:12">
      <c r="K8" s="1">
        <v>17.332999999999998</v>
      </c>
      <c r="L8" s="1">
        <f>+K8*3</f>
        <v>51.998999999999995</v>
      </c>
    </row>
    <row r="9" spans="1:12" s="13" customFormat="1" ht="36.75" customHeight="1">
      <c r="A9" s="12" t="s">
        <v>13</v>
      </c>
      <c r="B9" s="12" t="s">
        <v>0</v>
      </c>
      <c r="C9" s="12" t="s">
        <v>14</v>
      </c>
      <c r="D9" s="12" t="s">
        <v>6</v>
      </c>
      <c r="E9" s="12" t="s">
        <v>7</v>
      </c>
      <c r="F9" s="12" t="s">
        <v>3</v>
      </c>
      <c r="G9" s="12" t="s">
        <v>1</v>
      </c>
      <c r="H9" s="12" t="s">
        <v>4</v>
      </c>
      <c r="I9" s="53" t="s">
        <v>37</v>
      </c>
      <c r="J9" s="12" t="s">
        <v>2</v>
      </c>
    </row>
    <row r="10" spans="1:12" s="21" customFormat="1" ht="21.6" customHeight="1">
      <c r="A10" s="14"/>
      <c r="B10" s="15">
        <v>45846</v>
      </c>
      <c r="C10" s="16">
        <v>88882.5</v>
      </c>
      <c r="D10" s="16">
        <f>+C10</f>
        <v>88882.5</v>
      </c>
      <c r="E10" s="16">
        <v>88887.3</v>
      </c>
      <c r="F10" s="17">
        <f>IF(D10="","",E10-D10)</f>
        <v>4.8000000000029104</v>
      </c>
      <c r="G10" s="18"/>
      <c r="H10" s="19" t="str">
        <f>IF(G10="","",ROUND(G10/F10,2))</f>
        <v/>
      </c>
      <c r="I10" s="52"/>
      <c r="J10" s="24" t="s">
        <v>69</v>
      </c>
    </row>
    <row r="11" spans="1:12" s="21" customFormat="1" ht="23.45" customHeight="1">
      <c r="A11" s="14"/>
      <c r="B11" s="15">
        <v>45847</v>
      </c>
      <c r="C11" s="98">
        <v>88889.75</v>
      </c>
      <c r="D11" s="16">
        <f>+E10</f>
        <v>88887.3</v>
      </c>
      <c r="E11" s="16">
        <v>88897</v>
      </c>
      <c r="F11" s="17">
        <f>IF(D11="","",E11-D11)</f>
        <v>9.6999999999970896</v>
      </c>
      <c r="G11" s="18"/>
      <c r="H11" s="19"/>
      <c r="I11" s="52">
        <f>G11/(C11-C10)</f>
        <v>0</v>
      </c>
      <c r="J11" s="24"/>
    </row>
    <row r="12" spans="1:12" s="21" customFormat="1" ht="15" customHeight="1">
      <c r="A12" s="14"/>
      <c r="B12" s="15">
        <v>45848</v>
      </c>
      <c r="C12" s="16">
        <v>88897</v>
      </c>
      <c r="D12" s="16">
        <f>+E11</f>
        <v>88897</v>
      </c>
      <c r="E12" s="16">
        <v>88905.8</v>
      </c>
      <c r="F12" s="17">
        <f>+E12-D12</f>
        <v>8.8000000000029104</v>
      </c>
      <c r="G12" s="85">
        <v>17.260000000000002</v>
      </c>
      <c r="H12" s="19"/>
      <c r="I12" s="52"/>
      <c r="J12" s="26" t="s">
        <v>92</v>
      </c>
    </row>
    <row r="13" spans="1:12" s="21" customFormat="1" ht="15" customHeight="1">
      <c r="A13" s="14"/>
      <c r="B13" s="15">
        <v>45849</v>
      </c>
      <c r="C13" s="16">
        <v>88907</v>
      </c>
      <c r="D13" s="16">
        <f>+E12</f>
        <v>88905.8</v>
      </c>
      <c r="E13" s="16">
        <v>88916.4</v>
      </c>
      <c r="F13" s="17">
        <f>+E13-D13</f>
        <v>10.599999999991269</v>
      </c>
      <c r="G13" s="27">
        <v>108</v>
      </c>
      <c r="H13" s="19"/>
      <c r="I13" s="52"/>
      <c r="J13" s="26" t="s">
        <v>67</v>
      </c>
    </row>
    <row r="14" spans="1:12" s="21" customFormat="1" ht="15" customHeight="1">
      <c r="A14" s="14"/>
      <c r="B14" s="15">
        <v>45850</v>
      </c>
      <c r="C14" s="16"/>
      <c r="D14" s="16">
        <f>+E13</f>
        <v>88916.4</v>
      </c>
      <c r="E14" s="16">
        <v>88924.5</v>
      </c>
      <c r="F14" s="17">
        <f>+E14-D14</f>
        <v>8.1000000000058208</v>
      </c>
      <c r="G14" s="18">
        <v>0</v>
      </c>
      <c r="H14" s="19"/>
      <c r="I14" s="52"/>
      <c r="J14" s="26"/>
    </row>
    <row r="15" spans="1:12" s="21" customFormat="1" ht="15" customHeight="1">
      <c r="A15" s="14" t="s">
        <v>120</v>
      </c>
      <c r="B15" s="15">
        <v>45852</v>
      </c>
      <c r="C15" s="16">
        <v>88924.5</v>
      </c>
      <c r="D15" s="16">
        <v>88924.5</v>
      </c>
      <c r="E15" s="16">
        <v>88934.2</v>
      </c>
      <c r="F15" s="17">
        <f t="shared" ref="F15" si="0">+E15-D15</f>
        <v>9.6999999999970896</v>
      </c>
      <c r="G15" s="18">
        <f>51+16</f>
        <v>67</v>
      </c>
      <c r="H15" s="19"/>
      <c r="I15" s="52"/>
      <c r="J15" s="26" t="s">
        <v>78</v>
      </c>
    </row>
    <row r="16" spans="1:12" s="32" customFormat="1" ht="15" customHeight="1">
      <c r="A16" s="14" t="s">
        <v>120</v>
      </c>
      <c r="B16" s="15">
        <v>45852</v>
      </c>
      <c r="C16" s="29">
        <v>88934.2</v>
      </c>
      <c r="D16" s="16"/>
      <c r="E16" s="16"/>
      <c r="F16" s="17">
        <v>0</v>
      </c>
      <c r="G16" s="28">
        <v>90.266999999999996</v>
      </c>
      <c r="H16" s="19"/>
      <c r="I16" s="52"/>
      <c r="J16" s="31" t="s">
        <v>91</v>
      </c>
    </row>
    <row r="17" spans="1:12" s="32" customFormat="1" ht="15" customHeight="1">
      <c r="A17" s="14"/>
      <c r="B17" s="15"/>
      <c r="C17" s="103">
        <f>+C16-C10</f>
        <v>51.69999999999709</v>
      </c>
      <c r="D17" s="99"/>
      <c r="E17" s="99"/>
      <c r="F17" s="100"/>
      <c r="G17" s="104">
        <f>+G16+G15+G13+G12</f>
        <v>282.52699999999999</v>
      </c>
      <c r="H17" s="23"/>
      <c r="I17" s="52">
        <f>+G17/C17</f>
        <v>5.4647388781434412</v>
      </c>
      <c r="J17" s="102" t="s">
        <v>90</v>
      </c>
    </row>
    <row r="18" spans="1:12" s="32" customFormat="1" ht="15" customHeight="1">
      <c r="A18" s="14" t="s">
        <v>121</v>
      </c>
      <c r="B18" s="15">
        <v>45853</v>
      </c>
      <c r="C18" s="29"/>
      <c r="D18" s="29">
        <f>+E15</f>
        <v>88934.2</v>
      </c>
      <c r="E18" s="29">
        <v>88944.3</v>
      </c>
      <c r="F18" s="17">
        <f>+E18-D18</f>
        <v>10.100000000005821</v>
      </c>
      <c r="G18" s="28"/>
      <c r="H18" s="23"/>
      <c r="I18" s="52"/>
      <c r="J18" s="31"/>
    </row>
    <row r="19" spans="1:12" s="21" customFormat="1" ht="15" customHeight="1">
      <c r="A19" s="14" t="s">
        <v>122</v>
      </c>
      <c r="B19" s="15">
        <v>45854</v>
      </c>
      <c r="C19" s="16">
        <v>88948.6</v>
      </c>
      <c r="D19" s="16">
        <f>+E18</f>
        <v>88944.3</v>
      </c>
      <c r="E19" s="29">
        <v>88948.6</v>
      </c>
      <c r="F19" s="17">
        <f>+E19-D19</f>
        <v>4.3000000000029104</v>
      </c>
      <c r="G19" s="28">
        <v>94.3</v>
      </c>
      <c r="H19" s="23"/>
      <c r="I19" s="52"/>
      <c r="J19" s="26" t="s">
        <v>89</v>
      </c>
      <c r="K19" s="28">
        <v>72.959999999999994</v>
      </c>
    </row>
    <row r="20" spans="1:12" s="21" customFormat="1" ht="15" customHeight="1">
      <c r="A20" s="14" t="s">
        <v>123</v>
      </c>
      <c r="B20" s="15">
        <v>45855</v>
      </c>
      <c r="C20" s="16"/>
      <c r="D20" s="16">
        <f>+E19</f>
        <v>88948.6</v>
      </c>
      <c r="E20" s="16">
        <v>88959.2</v>
      </c>
      <c r="F20" s="17">
        <f t="shared" ref="F20:F22" si="1">+E20-D20</f>
        <v>10.599999999991269</v>
      </c>
      <c r="G20" s="18"/>
      <c r="H20" s="23"/>
      <c r="I20" s="52"/>
      <c r="J20" s="26"/>
      <c r="K20" s="33">
        <f>180-G19</f>
        <v>85.7</v>
      </c>
    </row>
    <row r="21" spans="1:12" s="21" customFormat="1" ht="15" customHeight="1">
      <c r="A21" s="14" t="s">
        <v>115</v>
      </c>
      <c r="B21" s="15">
        <v>45856</v>
      </c>
      <c r="C21" s="16">
        <v>88965</v>
      </c>
      <c r="D21" s="16">
        <f>+E20</f>
        <v>88959.2</v>
      </c>
      <c r="E21" s="16">
        <v>88969.5</v>
      </c>
      <c r="F21" s="17">
        <f t="shared" si="1"/>
        <v>10.30000000000291</v>
      </c>
      <c r="G21" s="18">
        <v>39.99</v>
      </c>
      <c r="H21" s="23"/>
      <c r="I21" s="52"/>
      <c r="J21" s="26"/>
    </row>
    <row r="22" spans="1:12" s="21" customFormat="1" ht="15" customHeight="1">
      <c r="A22" s="14" t="s">
        <v>124</v>
      </c>
      <c r="B22" s="15">
        <v>45857</v>
      </c>
      <c r="C22" s="16">
        <v>88970</v>
      </c>
      <c r="D22" s="16">
        <f>+E21</f>
        <v>88969.5</v>
      </c>
      <c r="E22" s="16">
        <v>88977.2</v>
      </c>
      <c r="F22" s="17">
        <f t="shared" si="1"/>
        <v>7.6999999999970896</v>
      </c>
      <c r="G22" s="18">
        <v>76</v>
      </c>
      <c r="H22" s="49"/>
      <c r="I22" s="52"/>
      <c r="J22" s="26"/>
    </row>
    <row r="23" spans="1:12" s="21" customFormat="1" ht="15" customHeight="1">
      <c r="A23" s="14" t="s">
        <v>203</v>
      </c>
      <c r="B23" s="15">
        <v>45859</v>
      </c>
      <c r="C23" s="16">
        <v>88981.3</v>
      </c>
      <c r="D23" s="16">
        <f>+E22</f>
        <v>88977.2</v>
      </c>
      <c r="E23" s="16">
        <v>88987.6</v>
      </c>
      <c r="F23" s="17">
        <f>+E23-D23</f>
        <v>10.400000000008731</v>
      </c>
      <c r="G23" s="18">
        <v>81.8</v>
      </c>
      <c r="H23" s="19"/>
      <c r="I23" s="52"/>
      <c r="J23" s="26" t="s">
        <v>58</v>
      </c>
    </row>
    <row r="24" spans="1:12" ht="25.9" customHeight="1">
      <c r="A24" s="9"/>
      <c r="B24" s="3"/>
      <c r="C24" s="111">
        <f>+C23-C16</f>
        <v>47.100000000005821</v>
      </c>
      <c r="D24" s="111"/>
      <c r="E24" s="111"/>
      <c r="F24" s="100"/>
      <c r="G24" s="35">
        <f>SUM(G18:G23)</f>
        <v>292.08999999999997</v>
      </c>
      <c r="H24" s="11"/>
      <c r="I24" s="52">
        <f>+G24/C24</f>
        <v>6.2014861995746049</v>
      </c>
      <c r="J24" s="102" t="s">
        <v>90</v>
      </c>
    </row>
    <row r="25" spans="1:12" ht="15" customHeight="1">
      <c r="A25" s="9" t="s">
        <v>202</v>
      </c>
      <c r="B25" s="3">
        <v>45860</v>
      </c>
      <c r="C25" s="4">
        <v>88897.3</v>
      </c>
      <c r="D25" s="4">
        <v>88897.600000000006</v>
      </c>
      <c r="E25" s="4">
        <f>+D25+9.7</f>
        <v>88907.3</v>
      </c>
      <c r="F25" s="17">
        <f t="shared" ref="F25:F32" si="2">+E25-D25</f>
        <v>9.6999999999970896</v>
      </c>
      <c r="G25" s="10">
        <v>83</v>
      </c>
      <c r="H25" s="11"/>
      <c r="I25" s="52"/>
      <c r="J25" s="26" t="s">
        <v>89</v>
      </c>
    </row>
    <row r="26" spans="1:12" ht="15" customHeight="1">
      <c r="A26" s="9" t="s">
        <v>201</v>
      </c>
      <c r="B26" s="3">
        <v>45861</v>
      </c>
      <c r="C26" s="4">
        <v>88904.1</v>
      </c>
      <c r="D26" s="4">
        <f>+E25</f>
        <v>88907.3</v>
      </c>
      <c r="E26" s="4">
        <f>+D26+10.3</f>
        <v>88917.6</v>
      </c>
      <c r="F26" s="17">
        <f t="shared" si="2"/>
        <v>10.30000000000291</v>
      </c>
      <c r="G26" s="10">
        <v>76</v>
      </c>
      <c r="H26" s="11"/>
      <c r="I26" s="52"/>
      <c r="J26" s="6"/>
    </row>
    <row r="27" spans="1:12" ht="15" customHeight="1">
      <c r="A27" s="9" t="s">
        <v>200</v>
      </c>
      <c r="B27" s="3">
        <v>45862</v>
      </c>
      <c r="C27" s="116"/>
      <c r="D27" s="4">
        <f>+E26</f>
        <v>88917.6</v>
      </c>
      <c r="E27" s="4">
        <f>+D27+9.9</f>
        <v>88927.5</v>
      </c>
      <c r="F27" s="17">
        <f t="shared" si="2"/>
        <v>9.8999999999941792</v>
      </c>
      <c r="G27" s="10"/>
      <c r="H27" s="11"/>
      <c r="I27" s="52"/>
      <c r="J27" s="6"/>
    </row>
    <row r="28" spans="1:12" ht="15" customHeight="1">
      <c r="A28" s="9" t="s">
        <v>199</v>
      </c>
      <c r="B28" s="3">
        <v>45863</v>
      </c>
      <c r="C28" s="4">
        <f>+C25+23</f>
        <v>88920.3</v>
      </c>
      <c r="D28" s="4">
        <f>+E27</f>
        <v>88927.5</v>
      </c>
      <c r="E28" s="4">
        <f>+D28+10.4</f>
        <v>88937.9</v>
      </c>
      <c r="F28" s="17">
        <f t="shared" si="2"/>
        <v>10.399999999994179</v>
      </c>
      <c r="G28" s="10">
        <v>95.46</v>
      </c>
      <c r="H28" s="11"/>
      <c r="I28" s="52"/>
      <c r="J28" s="6"/>
      <c r="L28" s="1">
        <f>30.25+25.3</f>
        <v>55.55</v>
      </c>
    </row>
    <row r="29" spans="1:12" ht="15" customHeight="1">
      <c r="A29" s="9" t="s">
        <v>198</v>
      </c>
      <c r="B29" s="3">
        <v>45864</v>
      </c>
      <c r="C29" s="4">
        <v>88927.9</v>
      </c>
      <c r="D29" s="4">
        <f>+E28</f>
        <v>88937.9</v>
      </c>
      <c r="E29" s="4">
        <v>88938</v>
      </c>
      <c r="F29" s="17">
        <f t="shared" si="2"/>
        <v>0.10000000000582077</v>
      </c>
      <c r="G29" s="10">
        <v>62.48</v>
      </c>
      <c r="H29" s="11"/>
      <c r="I29" s="52"/>
      <c r="J29" s="6" t="s">
        <v>99</v>
      </c>
    </row>
    <row r="30" spans="1:12" ht="15" customHeight="1">
      <c r="A30" s="9"/>
      <c r="B30" s="3"/>
      <c r="C30" s="111">
        <f>+C29-C25</f>
        <v>30.599999999991269</v>
      </c>
      <c r="D30" s="111"/>
      <c r="E30" s="111"/>
      <c r="F30" s="17"/>
      <c r="G30" s="35">
        <f>+G29+G28+G26</f>
        <v>233.94</v>
      </c>
      <c r="H30" s="11"/>
      <c r="I30" s="52">
        <f>+G30/C30</f>
        <v>7.645098039217868</v>
      </c>
      <c r="J30" s="102" t="s">
        <v>90</v>
      </c>
    </row>
    <row r="31" spans="1:12" ht="15" customHeight="1">
      <c r="A31" s="9" t="s">
        <v>221</v>
      </c>
      <c r="B31" s="3">
        <v>45868</v>
      </c>
      <c r="C31" s="4">
        <v>88943.4</v>
      </c>
      <c r="D31" s="4">
        <f>+E29</f>
        <v>88938</v>
      </c>
      <c r="E31" s="4">
        <f>+D32</f>
        <v>88946.7</v>
      </c>
      <c r="F31" s="17">
        <f t="shared" si="2"/>
        <v>8.6999999999970896</v>
      </c>
      <c r="G31" s="10">
        <v>86.3</v>
      </c>
      <c r="H31" s="11"/>
      <c r="I31" s="52">
        <f>+G31/(C31-C29)</f>
        <v>5.5677419354838706</v>
      </c>
      <c r="J31" s="6" t="s">
        <v>132</v>
      </c>
      <c r="K31" s="117"/>
    </row>
    <row r="32" spans="1:12" ht="15" customHeight="1">
      <c r="A32" s="9" t="s">
        <v>222</v>
      </c>
      <c r="B32" s="3">
        <v>45869</v>
      </c>
      <c r="C32" s="4"/>
      <c r="D32" s="4">
        <v>88946.7</v>
      </c>
      <c r="E32" s="4">
        <v>88956</v>
      </c>
      <c r="F32" s="17">
        <f t="shared" si="2"/>
        <v>9.3000000000029104</v>
      </c>
      <c r="G32" s="10"/>
      <c r="H32" s="11"/>
      <c r="I32" s="52"/>
      <c r="J32" s="6" t="s">
        <v>223</v>
      </c>
      <c r="K32" s="117"/>
    </row>
    <row r="33" spans="1:10" ht="15" customHeight="1">
      <c r="A33" s="9"/>
      <c r="B33" s="3">
        <v>45871</v>
      </c>
      <c r="C33" s="4">
        <v>88956.800000000003</v>
      </c>
      <c r="D33" s="4">
        <f>+E32</f>
        <v>88956</v>
      </c>
      <c r="E33" s="4"/>
      <c r="F33" s="17"/>
      <c r="G33" s="10">
        <v>46.19</v>
      </c>
      <c r="H33" s="11"/>
      <c r="I33" s="52"/>
      <c r="J33" s="6"/>
    </row>
    <row r="34" spans="1:10" ht="15" customHeight="1">
      <c r="A34" s="9"/>
      <c r="B34" s="3">
        <v>45872</v>
      </c>
      <c r="C34" s="4"/>
      <c r="D34" s="4"/>
      <c r="E34" s="4"/>
      <c r="F34" s="5"/>
      <c r="G34" s="10"/>
      <c r="H34" s="11"/>
      <c r="I34" s="52"/>
      <c r="J34" s="6"/>
    </row>
    <row r="35" spans="1:10" ht="15" customHeight="1">
      <c r="A35" s="9"/>
      <c r="B35" s="3">
        <v>45873</v>
      </c>
      <c r="C35" s="4">
        <v>88957.6</v>
      </c>
      <c r="D35" s="4"/>
      <c r="E35" s="4"/>
      <c r="F35" s="5"/>
      <c r="G35" s="10">
        <v>54.43</v>
      </c>
      <c r="H35" s="11"/>
      <c r="I35" s="52"/>
      <c r="J35" s="6"/>
    </row>
    <row r="36" spans="1:10" ht="15" customHeight="1">
      <c r="A36" s="9"/>
      <c r="B36" s="3">
        <v>45874</v>
      </c>
      <c r="C36" s="4">
        <v>88969</v>
      </c>
      <c r="D36" s="4"/>
      <c r="E36" s="4"/>
      <c r="F36" s="5"/>
      <c r="G36" s="10">
        <v>76.72</v>
      </c>
      <c r="H36" s="11"/>
      <c r="I36" s="52"/>
      <c r="J36" s="6" t="s">
        <v>99</v>
      </c>
    </row>
    <row r="37" spans="1:10" ht="15" customHeight="1">
      <c r="A37" s="9"/>
      <c r="B37" s="3"/>
      <c r="C37" s="111">
        <f>+C36-C29</f>
        <v>41.100000000005821</v>
      </c>
      <c r="D37" s="111"/>
      <c r="E37" s="111"/>
      <c r="F37" s="121"/>
      <c r="G37" s="35">
        <f>+G36+G35+G33+G31</f>
        <v>263.64</v>
      </c>
      <c r="H37" s="11"/>
      <c r="I37" s="52">
        <f>+G37/C37</f>
        <v>6.4145985401450769</v>
      </c>
      <c r="J37" s="102" t="s">
        <v>90</v>
      </c>
    </row>
    <row r="38" spans="1:10" ht="15" customHeight="1">
      <c r="A38" s="9"/>
      <c r="B38" s="3">
        <v>45875</v>
      </c>
      <c r="C38" s="4">
        <v>88979.6</v>
      </c>
      <c r="D38" s="4"/>
      <c r="E38" s="4"/>
      <c r="F38" s="5"/>
      <c r="G38" s="10">
        <v>43.48</v>
      </c>
      <c r="H38" s="11"/>
      <c r="I38" s="52"/>
      <c r="J38" s="6"/>
    </row>
    <row r="39" spans="1:10" ht="15" customHeight="1">
      <c r="A39" s="9"/>
      <c r="B39" s="3">
        <v>45876</v>
      </c>
      <c r="C39" s="4">
        <v>88991.2</v>
      </c>
      <c r="D39" s="4"/>
      <c r="E39" s="4"/>
      <c r="F39" s="5"/>
      <c r="G39" s="10">
        <v>110</v>
      </c>
      <c r="H39" s="11"/>
      <c r="I39" s="52"/>
      <c r="J39" s="6" t="s">
        <v>244</v>
      </c>
    </row>
    <row r="40" spans="1:10" ht="15" customHeight="1">
      <c r="A40" s="9"/>
      <c r="B40" s="3"/>
      <c r="C40" s="111">
        <f>+C39-C36</f>
        <v>22.19999999999709</v>
      </c>
      <c r="D40" s="111"/>
      <c r="E40" s="111"/>
      <c r="F40" s="121"/>
      <c r="G40" s="35">
        <f>+G39+G38</f>
        <v>153.47999999999999</v>
      </c>
      <c r="H40" s="11"/>
      <c r="I40" s="52">
        <f>+G40/C40</f>
        <v>6.9135135135144195</v>
      </c>
      <c r="J40" s="102" t="s">
        <v>90</v>
      </c>
    </row>
    <row r="41" spans="1:10" ht="15" customHeight="1">
      <c r="A41" s="9"/>
      <c r="B41" s="3">
        <v>45877</v>
      </c>
      <c r="C41" s="4">
        <v>89005.7</v>
      </c>
      <c r="D41" s="4"/>
      <c r="E41" s="4"/>
      <c r="F41" s="5"/>
      <c r="G41" s="10">
        <v>90</v>
      </c>
      <c r="H41" s="11"/>
      <c r="I41" s="52"/>
      <c r="J41" s="6" t="s">
        <v>99</v>
      </c>
    </row>
    <row r="42" spans="1:10" ht="15" customHeight="1">
      <c r="A42" s="9"/>
      <c r="B42" s="3">
        <v>45881</v>
      </c>
      <c r="C42" s="4">
        <v>89005.7</v>
      </c>
      <c r="D42" s="4"/>
      <c r="E42" s="4"/>
      <c r="F42" s="5"/>
      <c r="G42" s="10">
        <v>-84.55</v>
      </c>
      <c r="H42" s="11"/>
      <c r="I42" s="52"/>
      <c r="J42" s="6"/>
    </row>
    <row r="43" spans="1:10" ht="15" customHeight="1">
      <c r="A43" s="9"/>
      <c r="B43" s="3">
        <v>45883</v>
      </c>
      <c r="C43" s="4">
        <v>89005.7</v>
      </c>
      <c r="D43" s="4"/>
      <c r="E43" s="4"/>
      <c r="F43" s="5"/>
      <c r="G43" s="10">
        <v>52</v>
      </c>
      <c r="H43" s="11"/>
      <c r="I43" s="52"/>
      <c r="J43" s="6" t="s">
        <v>248</v>
      </c>
    </row>
    <row r="44" spans="1:10" ht="15" customHeight="1">
      <c r="A44" s="9"/>
      <c r="B44" s="3">
        <v>45884</v>
      </c>
      <c r="C44" s="126"/>
      <c r="D44" s="4"/>
      <c r="E44" s="4"/>
      <c r="F44" s="5"/>
      <c r="G44" s="124">
        <f>39+52</f>
        <v>91</v>
      </c>
      <c r="H44" s="11"/>
      <c r="I44" s="52"/>
      <c r="J44" s="6" t="s">
        <v>248</v>
      </c>
    </row>
    <row r="45" spans="1:10" ht="15" customHeight="1">
      <c r="A45" s="9"/>
      <c r="B45" s="3">
        <v>45887</v>
      </c>
      <c r="C45" s="4">
        <v>89036.6</v>
      </c>
      <c r="D45" s="4"/>
      <c r="E45" s="4"/>
      <c r="F45" s="5"/>
      <c r="G45" s="10">
        <v>90</v>
      </c>
      <c r="H45" s="11"/>
      <c r="I45" s="52"/>
      <c r="J45" s="6"/>
    </row>
    <row r="46" spans="1:10" ht="15" customHeight="1">
      <c r="A46" s="9"/>
      <c r="B46" s="3">
        <v>45891</v>
      </c>
      <c r="C46" s="4">
        <v>89045</v>
      </c>
      <c r="D46" s="4"/>
      <c r="E46" s="4"/>
      <c r="F46" s="5"/>
      <c r="G46" s="10">
        <v>57</v>
      </c>
      <c r="H46" s="11"/>
      <c r="I46" s="52"/>
      <c r="J46" s="6" t="s">
        <v>99</v>
      </c>
    </row>
    <row r="47" spans="1:10" ht="15" customHeight="1">
      <c r="A47" s="9"/>
      <c r="B47" s="3"/>
      <c r="C47" s="111">
        <f>+C46-C39</f>
        <v>53.80000000000291</v>
      </c>
      <c r="D47" s="111"/>
      <c r="E47" s="111"/>
      <c r="F47" s="121"/>
      <c r="G47" s="35">
        <f>SUM(G41:G46)</f>
        <v>295.45</v>
      </c>
      <c r="H47" s="11"/>
      <c r="I47" s="52">
        <f>+G47/C47</f>
        <v>5.4916356877320451</v>
      </c>
      <c r="J47" s="102" t="s">
        <v>90</v>
      </c>
    </row>
    <row r="48" spans="1:10" ht="15" customHeight="1">
      <c r="A48" s="9"/>
      <c r="B48" s="3">
        <v>45892</v>
      </c>
      <c r="C48" s="4">
        <v>89056.5</v>
      </c>
      <c r="D48" s="4"/>
      <c r="E48" s="4"/>
      <c r="F48" s="5"/>
      <c r="G48" s="10">
        <v>51.81</v>
      </c>
      <c r="H48" s="11"/>
      <c r="I48" s="52"/>
      <c r="J48" s="6" t="s">
        <v>255</v>
      </c>
    </row>
    <row r="49" spans="1:12" ht="15" customHeight="1">
      <c r="A49" s="9"/>
      <c r="B49" s="3">
        <v>45895</v>
      </c>
      <c r="C49" s="4">
        <v>89074.6</v>
      </c>
      <c r="D49" s="4"/>
      <c r="E49" s="4"/>
      <c r="F49" s="5"/>
      <c r="G49" s="10">
        <v>103.53</v>
      </c>
      <c r="H49" s="11"/>
      <c r="I49" s="52"/>
      <c r="J49" s="6" t="s">
        <v>99</v>
      </c>
    </row>
    <row r="50" spans="1:12" ht="15" customHeight="1">
      <c r="A50" s="9"/>
      <c r="B50" s="3"/>
      <c r="C50" s="111">
        <f>+C49-C46</f>
        <v>29.600000000005821</v>
      </c>
      <c r="D50" s="111"/>
      <c r="E50" s="111"/>
      <c r="F50" s="121"/>
      <c r="G50" s="35">
        <f>SUM(G48:G49)</f>
        <v>155.34</v>
      </c>
      <c r="H50" s="11"/>
      <c r="I50" s="52">
        <f>+G50/C50</f>
        <v>5.2479729729719411</v>
      </c>
      <c r="J50" s="102" t="s">
        <v>90</v>
      </c>
    </row>
    <row r="51" spans="1:12" ht="15" customHeight="1">
      <c r="A51" s="9"/>
      <c r="B51" s="3">
        <v>45896</v>
      </c>
      <c r="C51" s="4">
        <v>89085.3</v>
      </c>
      <c r="D51" s="4"/>
      <c r="E51" s="4"/>
      <c r="F51" s="5"/>
      <c r="G51" s="10">
        <v>55</v>
      </c>
      <c r="H51" s="11"/>
      <c r="I51" s="52">
        <f>+G51/(C51-C49)</f>
        <v>5.1401869158892488</v>
      </c>
      <c r="J51" s="6" t="s">
        <v>99</v>
      </c>
    </row>
    <row r="52" spans="1:12" ht="15" customHeight="1">
      <c r="A52" s="9"/>
      <c r="B52" s="3">
        <v>45897</v>
      </c>
      <c r="C52" s="4">
        <v>89097.1</v>
      </c>
      <c r="D52" s="4"/>
      <c r="E52" s="4"/>
      <c r="F52" s="5"/>
      <c r="G52" s="10">
        <v>101.2</v>
      </c>
      <c r="H52" s="11"/>
      <c r="I52" s="52">
        <f t="shared" ref="I52:I56" si="3">+G52/(C52-C51)</f>
        <v>8.5762711864385626</v>
      </c>
      <c r="J52" s="6" t="s">
        <v>99</v>
      </c>
    </row>
    <row r="53" spans="1:12" ht="15" customHeight="1">
      <c r="A53" s="9"/>
      <c r="B53" s="3">
        <v>45898</v>
      </c>
      <c r="C53" s="4">
        <v>89105.600000000006</v>
      </c>
      <c r="D53" s="4"/>
      <c r="E53" s="4"/>
      <c r="F53" s="5"/>
      <c r="G53" s="10">
        <v>64.84</v>
      </c>
      <c r="H53" s="11"/>
      <c r="I53" s="52">
        <f t="shared" si="3"/>
        <v>7.6282352941176477</v>
      </c>
      <c r="J53" s="6" t="s">
        <v>99</v>
      </c>
    </row>
    <row r="54" spans="1:12" ht="15" customHeight="1">
      <c r="A54" s="9"/>
      <c r="B54" s="3">
        <v>45900</v>
      </c>
      <c r="C54" s="4">
        <v>89117.5</v>
      </c>
      <c r="D54" s="4"/>
      <c r="E54" s="4"/>
      <c r="F54" s="5"/>
      <c r="G54" s="10">
        <v>80.17</v>
      </c>
      <c r="H54" s="11"/>
      <c r="I54" s="52">
        <f t="shared" si="3"/>
        <v>6.7369747899192616</v>
      </c>
      <c r="J54" s="6" t="s">
        <v>99</v>
      </c>
    </row>
    <row r="55" spans="1:12" ht="15" customHeight="1">
      <c r="A55" s="9"/>
      <c r="B55" s="3">
        <v>45902</v>
      </c>
      <c r="C55" s="4">
        <v>89134.5</v>
      </c>
      <c r="D55" s="4"/>
      <c r="E55" s="4"/>
      <c r="F55" s="5"/>
      <c r="G55" s="10">
        <v>104.54</v>
      </c>
      <c r="H55" s="11"/>
      <c r="I55" s="52">
        <f t="shared" si="3"/>
        <v>6.1494117647058824</v>
      </c>
      <c r="J55" s="6" t="s">
        <v>99</v>
      </c>
    </row>
    <row r="56" spans="1:12" ht="15" customHeight="1">
      <c r="A56" s="9"/>
      <c r="B56" s="3">
        <v>45904</v>
      </c>
      <c r="C56" s="4">
        <v>89149.6</v>
      </c>
      <c r="D56" s="4"/>
      <c r="E56" s="4"/>
      <c r="F56" s="5"/>
      <c r="G56" s="10">
        <v>104.2</v>
      </c>
      <c r="H56" s="11"/>
      <c r="I56" s="52">
        <f t="shared" si="3"/>
        <v>6.9006622516529692</v>
      </c>
      <c r="J56" s="6" t="s">
        <v>99</v>
      </c>
      <c r="K56" s="1">
        <v>252.74</v>
      </c>
    </row>
    <row r="57" spans="1:12" ht="15" customHeight="1">
      <c r="A57" s="9"/>
      <c r="B57" s="3">
        <v>45905</v>
      </c>
      <c r="C57" s="4">
        <v>89165</v>
      </c>
      <c r="D57" s="4"/>
      <c r="E57" s="4"/>
      <c r="F57" s="5"/>
      <c r="G57" s="10">
        <v>95.33</v>
      </c>
      <c r="H57" s="11"/>
      <c r="I57" s="52"/>
      <c r="J57" s="6" t="s">
        <v>196</v>
      </c>
      <c r="K57" s="112">
        <v>3.7854117839999999</v>
      </c>
      <c r="L57" s="1" t="s">
        <v>125</v>
      </c>
    </row>
    <row r="58" spans="1:12" ht="15" customHeight="1">
      <c r="A58" s="9"/>
      <c r="B58" s="3">
        <v>45907</v>
      </c>
      <c r="C58" s="4">
        <v>89175.7</v>
      </c>
      <c r="D58" s="4"/>
      <c r="E58" s="4"/>
      <c r="F58" s="5"/>
      <c r="G58" s="10">
        <v>52</v>
      </c>
      <c r="H58" s="11"/>
      <c r="I58" s="52"/>
      <c r="J58" s="6" t="s">
        <v>196</v>
      </c>
      <c r="K58" s="1">
        <f>+K56/K57</f>
        <v>66.766844512998432</v>
      </c>
    </row>
    <row r="59" spans="1:12" ht="15" customHeight="1">
      <c r="A59" s="9"/>
      <c r="B59" s="3">
        <v>45909</v>
      </c>
      <c r="C59" s="4">
        <v>89189.7</v>
      </c>
      <c r="D59" s="4"/>
      <c r="E59" s="4"/>
      <c r="F59" s="5"/>
      <c r="G59" s="10">
        <v>63</v>
      </c>
      <c r="H59" s="11"/>
      <c r="I59" s="52"/>
      <c r="J59" s="6" t="s">
        <v>196</v>
      </c>
    </row>
    <row r="60" spans="1:12" ht="15" customHeight="1">
      <c r="A60" s="9"/>
      <c r="B60" s="3">
        <v>45910</v>
      </c>
      <c r="C60" s="4">
        <v>89199.1</v>
      </c>
      <c r="D60" s="4"/>
      <c r="E60" s="4"/>
      <c r="F60" s="5"/>
      <c r="G60" s="10">
        <v>104</v>
      </c>
      <c r="H60" s="11"/>
      <c r="I60" s="52">
        <f>+G60/(C60-C59)</f>
        <v>11.063829787223765</v>
      </c>
      <c r="J60" s="6" t="s">
        <v>99</v>
      </c>
    </row>
    <row r="61" spans="1:12" ht="15" customHeight="1">
      <c r="A61" s="9"/>
      <c r="B61" s="3"/>
      <c r="C61" s="111">
        <f>+C60-C56</f>
        <v>49.5</v>
      </c>
      <c r="D61" s="111"/>
      <c r="E61" s="111"/>
      <c r="F61" s="121"/>
      <c r="G61" s="35">
        <f>SUM(G57:G60)</f>
        <v>314.33</v>
      </c>
      <c r="H61" s="11"/>
      <c r="I61" s="52">
        <f>+G61/C61</f>
        <v>6.3501010101010094</v>
      </c>
      <c r="J61" s="102" t="s">
        <v>90</v>
      </c>
    </row>
    <row r="62" spans="1:12" ht="15" customHeight="1">
      <c r="A62" s="9"/>
      <c r="B62" s="3">
        <v>45915</v>
      </c>
      <c r="C62" s="4">
        <v>89216</v>
      </c>
      <c r="D62" s="4"/>
      <c r="E62" s="4"/>
      <c r="F62" s="5"/>
      <c r="G62" s="10">
        <v>102</v>
      </c>
      <c r="H62" s="11"/>
      <c r="I62" s="52">
        <f>+G62/(C62-C60)</f>
        <v>6.0355029585819606</v>
      </c>
      <c r="J62" s="6" t="s">
        <v>99</v>
      </c>
    </row>
    <row r="63" spans="1:12" ht="15" customHeight="1">
      <c r="A63" s="9"/>
      <c r="B63" s="3">
        <v>45916</v>
      </c>
      <c r="C63" s="4">
        <v>89228.6</v>
      </c>
      <c r="D63" s="4"/>
      <c r="E63" s="4"/>
      <c r="F63" s="5"/>
      <c r="G63" s="10">
        <v>66</v>
      </c>
      <c r="H63" s="11"/>
      <c r="I63" s="52"/>
      <c r="J63" s="6" t="s">
        <v>196</v>
      </c>
    </row>
    <row r="64" spans="1:12" ht="15" customHeight="1">
      <c r="A64" s="9"/>
      <c r="B64" s="3">
        <v>45923</v>
      </c>
      <c r="C64" s="4">
        <v>89242.3</v>
      </c>
      <c r="D64" s="4"/>
      <c r="E64" s="4"/>
      <c r="F64" s="5"/>
      <c r="G64" s="10">
        <v>106.25</v>
      </c>
      <c r="H64" s="11"/>
      <c r="I64" s="52">
        <f t="shared" ref="I64" si="4">+G64/(C64-C63)</f>
        <v>7.7554744525563919</v>
      </c>
      <c r="J64" s="6" t="s">
        <v>99</v>
      </c>
    </row>
    <row r="65" spans="1:10" ht="15" customHeight="1">
      <c r="A65" s="9"/>
      <c r="B65" s="3"/>
      <c r="C65" s="111">
        <f>+C64-C62</f>
        <v>26.30000000000291</v>
      </c>
      <c r="D65" s="111"/>
      <c r="E65" s="111"/>
      <c r="F65" s="121"/>
      <c r="G65" s="35">
        <f>+G64+G63</f>
        <v>172.25</v>
      </c>
      <c r="H65" s="11"/>
      <c r="I65" s="52">
        <f>+G65/C65</f>
        <v>6.5494296577939517</v>
      </c>
      <c r="J65" s="102" t="s">
        <v>90</v>
      </c>
    </row>
    <row r="66" spans="1:10" ht="15" customHeight="1">
      <c r="A66" s="9"/>
      <c r="B66" s="3"/>
      <c r="C66" s="4"/>
      <c r="D66" s="4"/>
      <c r="E66" s="4"/>
      <c r="F66" s="5"/>
      <c r="G66" s="10"/>
      <c r="H66" s="11"/>
      <c r="I66" s="52"/>
      <c r="J66" s="6"/>
    </row>
    <row r="67" spans="1:10" ht="15" customHeight="1">
      <c r="A67" s="9"/>
      <c r="B67" s="3"/>
      <c r="C67" s="4"/>
      <c r="D67" s="4"/>
      <c r="E67" s="4"/>
      <c r="F67" s="5"/>
      <c r="G67" s="10"/>
      <c r="H67" s="11"/>
      <c r="I67" s="52"/>
      <c r="J67" s="6"/>
    </row>
    <row r="68" spans="1:10" ht="15" customHeight="1">
      <c r="A68" s="9"/>
      <c r="B68" s="3"/>
      <c r="C68" s="4"/>
      <c r="D68" s="4"/>
      <c r="E68" s="4"/>
      <c r="F68" s="5"/>
      <c r="G68" s="10"/>
      <c r="H68" s="11"/>
      <c r="I68" s="52"/>
      <c r="J68" s="6"/>
    </row>
    <row r="69" spans="1:10" ht="15" customHeight="1">
      <c r="A69" s="9"/>
      <c r="B69" s="3"/>
      <c r="C69" s="4"/>
      <c r="D69" s="4"/>
      <c r="E69" s="4"/>
      <c r="F69" s="5"/>
      <c r="G69" s="10"/>
      <c r="H69" s="11"/>
      <c r="I69" s="52"/>
      <c r="J69" s="6"/>
    </row>
    <row r="70" spans="1:10" ht="15" customHeight="1">
      <c r="A70" s="9"/>
      <c r="B70" s="3"/>
      <c r="C70" s="4"/>
      <c r="D70" s="4"/>
      <c r="E70" s="4"/>
      <c r="F70" s="5"/>
      <c r="G70" s="10"/>
      <c r="H70" s="11"/>
      <c r="I70" s="52"/>
      <c r="J70" s="6"/>
    </row>
    <row r="71" spans="1:10" ht="14.45" customHeight="1">
      <c r="A71" s="146" t="s">
        <v>15</v>
      </c>
      <c r="B71" s="147"/>
      <c r="C71" s="147"/>
      <c r="D71" s="147"/>
      <c r="E71" s="148"/>
      <c r="F71" s="34">
        <f>SUM(F10:F70)</f>
        <v>163.5</v>
      </c>
      <c r="G71" s="35">
        <f>SUM(G10:G70)</f>
        <v>5021.0439999999999</v>
      </c>
      <c r="H71" s="11">
        <f>IF(G71="","",ROUND(G71/F71,2))</f>
        <v>30.71</v>
      </c>
      <c r="I71" s="11"/>
      <c r="J71" s="36" t="s">
        <v>16</v>
      </c>
    </row>
    <row r="73" spans="1:10" hidden="1"/>
    <row r="74" spans="1:10" hidden="1">
      <c r="A74" s="149" t="s">
        <v>42</v>
      </c>
      <c r="B74" s="149"/>
      <c r="C74" s="149"/>
      <c r="D74" s="149"/>
      <c r="E74" s="149"/>
      <c r="H74" s="54"/>
      <c r="I74" s="54"/>
    </row>
    <row r="75" spans="1:10" ht="6" hidden="1" customHeight="1">
      <c r="A75" s="55"/>
      <c r="B75" s="55"/>
      <c r="C75" s="55"/>
      <c r="D75" s="55"/>
      <c r="H75" s="54"/>
      <c r="I75" s="54"/>
    </row>
    <row r="76" spans="1:10" ht="13.5" hidden="1">
      <c r="A76" s="56" t="s">
        <v>0</v>
      </c>
      <c r="B76" s="150">
        <f>+B40</f>
        <v>0</v>
      </c>
      <c r="C76" s="150"/>
      <c r="D76" s="151"/>
      <c r="H76" s="54"/>
      <c r="I76" s="54"/>
    </row>
    <row r="77" spans="1:10" ht="13.5" hidden="1">
      <c r="A77" s="56" t="s">
        <v>41</v>
      </c>
      <c r="B77" s="56" t="s">
        <v>54</v>
      </c>
      <c r="C77" s="56"/>
      <c r="D77" s="151"/>
      <c r="H77" s="54"/>
      <c r="I77" s="54"/>
    </row>
    <row r="78" spans="1:10" ht="13.5" hidden="1">
      <c r="A78" s="56" t="s">
        <v>8</v>
      </c>
      <c r="B78" s="56" t="str">
        <f>+B4</f>
        <v>EXCAVADORA DOOSAN 3400 DX 340 LCA M SERIE DHKCECAPPD0005343</v>
      </c>
      <c r="C78" s="56"/>
      <c r="D78" s="57"/>
      <c r="G78" s="7">
        <v>267.5</v>
      </c>
      <c r="H78" s="54"/>
      <c r="I78" s="54"/>
    </row>
    <row r="79" spans="1:10" ht="19.5" hidden="1" customHeight="1">
      <c r="A79" s="152" t="s">
        <v>45</v>
      </c>
      <c r="B79" s="152"/>
      <c r="C79" s="153" t="s">
        <v>43</v>
      </c>
      <c r="D79" s="155" t="s">
        <v>44</v>
      </c>
      <c r="E79" s="155" t="s">
        <v>48</v>
      </c>
      <c r="G79" s="79">
        <f>SUM(G31:G33)</f>
        <v>132.49</v>
      </c>
      <c r="H79" s="54"/>
      <c r="I79" s="54"/>
    </row>
    <row r="80" spans="1:10" ht="13.5" hidden="1" customHeight="1">
      <c r="A80" s="58" t="s">
        <v>46</v>
      </c>
      <c r="B80" s="58" t="s">
        <v>47</v>
      </c>
      <c r="C80" s="154"/>
      <c r="D80" s="156"/>
      <c r="E80" s="156"/>
      <c r="G80" s="80">
        <f>+G78-G79</f>
        <v>135.01</v>
      </c>
      <c r="H80" s="54"/>
      <c r="I80" s="54"/>
    </row>
    <row r="81" spans="1:10" ht="15" hidden="1" customHeight="1">
      <c r="A81" s="157">
        <f>+C40</f>
        <v>22.19999999999709</v>
      </c>
      <c r="B81" s="157">
        <f>+C33</f>
        <v>88956.800000000003</v>
      </c>
      <c r="C81" s="159">
        <f>+A81-B81</f>
        <v>-88934.6</v>
      </c>
      <c r="D81" s="161">
        <f>+E81/(A81-B81)</f>
        <v>-1.725762526620685E-3</v>
      </c>
      <c r="E81" s="161">
        <f>+G40</f>
        <v>153.47999999999999</v>
      </c>
      <c r="H81" s="54"/>
      <c r="I81" s="54"/>
    </row>
    <row r="82" spans="1:10" ht="12.75" hidden="1" customHeight="1">
      <c r="A82" s="158"/>
      <c r="B82" s="158"/>
      <c r="C82" s="160"/>
      <c r="D82" s="160"/>
      <c r="E82" s="160"/>
      <c r="H82" s="54"/>
      <c r="I82" s="54"/>
    </row>
    <row r="83" spans="1:10" hidden="1"/>
    <row r="84" spans="1:10" hidden="1"/>
    <row r="85" spans="1:10" hidden="1"/>
    <row r="86" spans="1:10" hidden="1"/>
    <row r="87" spans="1:10" hidden="1"/>
    <row r="88" spans="1:10" hidden="1"/>
    <row r="89" spans="1:10" hidden="1"/>
    <row r="90" spans="1:10" hidden="1"/>
    <row r="91" spans="1:10" hidden="1"/>
    <row r="92" spans="1:10" hidden="1">
      <c r="B92" s="145" t="s">
        <v>5</v>
      </c>
      <c r="C92" s="145"/>
      <c r="D92" s="145"/>
      <c r="E92" s="145"/>
      <c r="F92" s="145"/>
      <c r="G92" s="145"/>
      <c r="H92" s="145"/>
      <c r="I92" s="145"/>
      <c r="J92" s="145"/>
    </row>
    <row r="93" spans="1:10" hidden="1">
      <c r="A93" s="2" t="s">
        <v>11</v>
      </c>
      <c r="B93" s="1" t="s">
        <v>30</v>
      </c>
      <c r="D93" s="1"/>
      <c r="E93" s="1"/>
      <c r="G93" s="1"/>
      <c r="H93" s="1"/>
      <c r="I93" s="1"/>
    </row>
    <row r="94" spans="1:10" hidden="1">
      <c r="A94" s="2" t="s">
        <v>8</v>
      </c>
      <c r="B94" s="1" t="s">
        <v>35</v>
      </c>
      <c r="D94" s="1"/>
      <c r="E94" s="1"/>
      <c r="G94" s="1"/>
      <c r="H94" s="1"/>
      <c r="I94" s="1"/>
    </row>
    <row r="95" spans="1:10" hidden="1">
      <c r="A95" s="2" t="s">
        <v>9</v>
      </c>
      <c r="D95" s="1"/>
      <c r="E95" s="1"/>
      <c r="G95" s="1"/>
      <c r="H95" s="1"/>
      <c r="I95" s="1"/>
    </row>
    <row r="96" spans="1:10" hidden="1">
      <c r="A96" s="2" t="s">
        <v>10</v>
      </c>
      <c r="B96" s="1" t="s">
        <v>12</v>
      </c>
      <c r="D96" s="1"/>
      <c r="E96" s="1"/>
      <c r="G96" s="1"/>
      <c r="H96" s="1"/>
      <c r="I96" s="1"/>
    </row>
    <row r="97" spans="1:11" hidden="1">
      <c r="A97" s="2"/>
      <c r="D97" s="1"/>
      <c r="E97" s="1"/>
      <c r="G97" s="1"/>
      <c r="H97" s="1"/>
      <c r="I97" s="1"/>
    </row>
    <row r="98" spans="1:11" hidden="1">
      <c r="A98" s="2" t="s">
        <v>18</v>
      </c>
      <c r="B98" s="37"/>
      <c r="D98" s="1"/>
      <c r="E98" s="1"/>
      <c r="G98" s="1"/>
      <c r="H98" s="1"/>
      <c r="I98" s="1"/>
    </row>
    <row r="99" spans="1:11" hidden="1">
      <c r="A99" s="2" t="s">
        <v>19</v>
      </c>
      <c r="B99" s="37">
        <f>SUM(G114:G120)</f>
        <v>0</v>
      </c>
      <c r="D99" s="1"/>
      <c r="E99" s="1"/>
      <c r="G99" s="1"/>
      <c r="H99" s="1"/>
      <c r="I99" s="1"/>
    </row>
    <row r="100" spans="1:11" hidden="1">
      <c r="A100" s="2" t="s">
        <v>20</v>
      </c>
      <c r="B100" s="37">
        <f>SUM(G122:G127)</f>
        <v>0</v>
      </c>
      <c r="D100" s="1"/>
      <c r="E100" s="1"/>
      <c r="G100" s="1"/>
      <c r="H100" s="1"/>
      <c r="I100" s="1"/>
    </row>
    <row r="101" spans="1:11" hidden="1">
      <c r="A101" s="2" t="s">
        <v>21</v>
      </c>
      <c r="D101" s="1"/>
      <c r="E101" s="1"/>
      <c r="G101" s="1"/>
      <c r="H101" s="1"/>
      <c r="I101" s="1"/>
    </row>
    <row r="102" spans="1:11" hidden="1">
      <c r="A102" s="2" t="s">
        <v>22</v>
      </c>
      <c r="B102" s="38">
        <f>SUM(B98:B101)</f>
        <v>0</v>
      </c>
      <c r="D102" s="1"/>
      <c r="E102" s="1"/>
      <c r="G102" s="1"/>
      <c r="H102" s="1"/>
      <c r="I102" s="1"/>
    </row>
    <row r="103" spans="1:11" hidden="1">
      <c r="H103" s="50"/>
    </row>
    <row r="104" spans="1:11" ht="40.5" hidden="1">
      <c r="A104" s="12" t="s">
        <v>13</v>
      </c>
      <c r="B104" s="12" t="s">
        <v>0</v>
      </c>
      <c r="C104" s="12" t="s">
        <v>14</v>
      </c>
      <c r="D104" s="12" t="s">
        <v>6</v>
      </c>
      <c r="E104" s="12" t="s">
        <v>7</v>
      </c>
      <c r="F104" s="12" t="s">
        <v>3</v>
      </c>
      <c r="G104" s="12" t="s">
        <v>1</v>
      </c>
      <c r="H104" s="12" t="s">
        <v>4</v>
      </c>
      <c r="I104" s="12"/>
      <c r="J104" s="12" t="s">
        <v>2</v>
      </c>
    </row>
    <row r="105" spans="1:11" hidden="1">
      <c r="A105" s="14"/>
      <c r="B105" s="15"/>
      <c r="C105" s="16"/>
      <c r="D105" s="16"/>
      <c r="E105" s="16"/>
      <c r="F105" s="17"/>
      <c r="G105" s="18"/>
      <c r="H105" s="49"/>
      <c r="I105" s="49"/>
      <c r="J105" s="20"/>
    </row>
    <row r="106" spans="1:11" hidden="1">
      <c r="A106" s="14"/>
      <c r="B106" s="15"/>
      <c r="C106" s="16"/>
      <c r="D106" s="16"/>
      <c r="E106" s="16"/>
      <c r="F106" s="17"/>
      <c r="G106" s="18"/>
      <c r="H106" s="49"/>
      <c r="I106" s="23"/>
      <c r="J106" s="22"/>
    </row>
    <row r="107" spans="1:11" hidden="1">
      <c r="A107" s="14"/>
      <c r="B107" s="15">
        <v>45467</v>
      </c>
      <c r="C107" s="16"/>
      <c r="D107" s="16"/>
      <c r="E107" s="16"/>
      <c r="F107" s="17"/>
      <c r="G107" s="18">
        <v>16.59</v>
      </c>
      <c r="H107" s="49"/>
      <c r="I107" s="49"/>
      <c r="J107" s="24" t="s">
        <v>36</v>
      </c>
      <c r="K107" s="51">
        <v>255.5</v>
      </c>
    </row>
    <row r="108" spans="1:11" hidden="1">
      <c r="A108" s="14"/>
      <c r="B108" s="15"/>
      <c r="C108" s="16"/>
      <c r="D108" s="16"/>
      <c r="E108" s="16"/>
      <c r="F108" s="17"/>
      <c r="G108" s="18"/>
      <c r="H108" s="49"/>
      <c r="I108" s="49"/>
      <c r="J108" s="24"/>
    </row>
    <row r="109" spans="1:11" hidden="1"/>
  </sheetData>
  <mergeCells count="16">
    <mergeCell ref="A71:E71"/>
    <mergeCell ref="B2:J2"/>
    <mergeCell ref="B92:J92"/>
    <mergeCell ref="A74:E74"/>
    <mergeCell ref="B76:C76"/>
    <mergeCell ref="D76:D77"/>
    <mergeCell ref="A79:B79"/>
    <mergeCell ref="C79:C80"/>
    <mergeCell ref="D79:D80"/>
    <mergeCell ref="E79:E80"/>
    <mergeCell ref="A81:A82"/>
    <mergeCell ref="B81:B82"/>
    <mergeCell ref="C81:C82"/>
    <mergeCell ref="D81:D82"/>
    <mergeCell ref="E81:E82"/>
    <mergeCell ref="B3:J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75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I19"/>
  <sheetViews>
    <sheetView showGridLines="0" topLeftCell="A2" zoomScale="115" zoomScaleNormal="115" zoomScaleSheetLayoutView="100" workbookViewId="0">
      <pane ySplit="7" topLeftCell="A12" activePane="bottomLeft" state="frozen"/>
      <selection activeCell="G11" sqref="G11"/>
      <selection pane="bottomLeft" activeCell="D8" sqref="D8:E8"/>
    </sheetView>
  </sheetViews>
  <sheetFormatPr baseColWidth="10" defaultColWidth="11.5703125" defaultRowHeight="12.75"/>
  <cols>
    <col min="1" max="1" width="12.5703125" style="1" customWidth="1"/>
    <col min="2" max="2" width="9.5703125" style="1" customWidth="1"/>
    <col min="3" max="3" width="13.7109375" style="1" customWidth="1"/>
    <col min="4" max="4" width="11.42578125" style="7" customWidth="1"/>
    <col min="5" max="5" width="12" style="7" customWidth="1"/>
    <col min="6" max="6" width="12.140625" style="1" customWidth="1"/>
    <col min="7" max="7" width="14.42578125" style="7" customWidth="1"/>
    <col min="8" max="8" width="10.7109375" style="90" customWidth="1"/>
    <col min="9" max="9" width="43.85546875" style="1" customWidth="1"/>
    <col min="10" max="16384" width="11.5703125" style="1"/>
  </cols>
  <sheetData>
    <row r="2" spans="1:9" ht="32.450000000000003" customHeight="1">
      <c r="B2" s="145" t="s">
        <v>5</v>
      </c>
      <c r="C2" s="145"/>
      <c r="D2" s="145"/>
      <c r="E2" s="145"/>
      <c r="F2" s="145"/>
      <c r="G2" s="145"/>
      <c r="H2" s="145"/>
      <c r="I2" s="145"/>
    </row>
    <row r="3" spans="1:9">
      <c r="A3" s="2" t="s">
        <v>11</v>
      </c>
      <c r="B3" s="1" t="s">
        <v>55</v>
      </c>
      <c r="D3" s="1"/>
      <c r="E3" s="1"/>
      <c r="G3" s="1"/>
      <c r="H3" s="1"/>
    </row>
    <row r="4" spans="1:9">
      <c r="A4" s="2" t="s">
        <v>8</v>
      </c>
      <c r="B4" s="1" t="s">
        <v>40</v>
      </c>
      <c r="D4" s="1"/>
      <c r="E4" s="1"/>
      <c r="G4" s="1"/>
      <c r="H4" s="1"/>
    </row>
    <row r="5" spans="1:9">
      <c r="A5" s="2" t="s">
        <v>9</v>
      </c>
      <c r="B5" s="1" t="s">
        <v>84</v>
      </c>
      <c r="D5" s="1"/>
      <c r="E5" s="1"/>
      <c r="G5" s="1"/>
      <c r="H5" s="1"/>
    </row>
    <row r="6" spans="1:9">
      <c r="A6" s="2" t="s">
        <v>10</v>
      </c>
      <c r="B6" s="1" t="s">
        <v>57</v>
      </c>
      <c r="D6" s="1"/>
      <c r="E6" s="1"/>
      <c r="G6" s="37"/>
      <c r="H6" s="1"/>
    </row>
    <row r="7" spans="1:9">
      <c r="G7" s="1"/>
    </row>
    <row r="8" spans="1:9" s="13" customFormat="1" ht="28.5" customHeight="1">
      <c r="A8" s="12" t="s">
        <v>13</v>
      </c>
      <c r="B8" s="12" t="s">
        <v>0</v>
      </c>
      <c r="C8" s="12" t="s">
        <v>14</v>
      </c>
      <c r="D8" s="12" t="s">
        <v>6</v>
      </c>
      <c r="E8" s="12" t="s">
        <v>7</v>
      </c>
      <c r="F8" s="12" t="s">
        <v>3</v>
      </c>
      <c r="G8" s="12" t="s">
        <v>1</v>
      </c>
      <c r="H8" s="12" t="s">
        <v>4</v>
      </c>
      <c r="I8" s="12" t="s">
        <v>2</v>
      </c>
    </row>
    <row r="9" spans="1:9" s="21" customFormat="1" ht="14.25" customHeight="1">
      <c r="A9" s="14"/>
      <c r="B9" s="15">
        <v>45845</v>
      </c>
      <c r="C9" s="16"/>
      <c r="D9" s="16"/>
      <c r="E9" s="16"/>
      <c r="F9" s="17"/>
      <c r="G9" s="28"/>
      <c r="H9" s="49"/>
      <c r="I9" s="24"/>
    </row>
    <row r="10" spans="1:9" s="32" customFormat="1" ht="15" customHeight="1">
      <c r="A10" s="14"/>
      <c r="B10" s="15">
        <v>45846</v>
      </c>
      <c r="C10" s="29"/>
      <c r="D10" s="29"/>
      <c r="E10" s="29"/>
      <c r="F10" s="17"/>
      <c r="G10" s="28">
        <v>5</v>
      </c>
      <c r="H10" s="52"/>
      <c r="I10" s="31"/>
    </row>
    <row r="11" spans="1:9" s="21" customFormat="1" ht="15" customHeight="1">
      <c r="A11" s="14"/>
      <c r="B11" s="15">
        <v>45850</v>
      </c>
      <c r="C11" s="16"/>
      <c r="D11" s="16"/>
      <c r="E11" s="16"/>
      <c r="F11" s="17"/>
      <c r="G11" s="18">
        <v>5</v>
      </c>
      <c r="H11" s="52"/>
      <c r="I11" s="26"/>
    </row>
    <row r="12" spans="1:9" s="21" customFormat="1" ht="15" customHeight="1">
      <c r="A12" s="14"/>
      <c r="B12" s="15">
        <v>45852</v>
      </c>
      <c r="C12" s="16"/>
      <c r="D12" s="16"/>
      <c r="E12" s="16"/>
      <c r="F12" s="17"/>
      <c r="G12" s="18">
        <v>5</v>
      </c>
      <c r="H12" s="52"/>
      <c r="I12" s="31"/>
    </row>
    <row r="13" spans="1:9" s="21" customFormat="1" ht="15" customHeight="1">
      <c r="A13" s="14"/>
      <c r="B13" s="15">
        <v>45853</v>
      </c>
      <c r="C13" s="16"/>
      <c r="D13" s="16"/>
      <c r="E13" s="16"/>
      <c r="F13" s="17"/>
      <c r="G13" s="18">
        <v>4</v>
      </c>
      <c r="H13" s="52"/>
      <c r="I13" s="26"/>
    </row>
    <row r="14" spans="1:9" s="21" customFormat="1" ht="15" customHeight="1">
      <c r="A14" s="14"/>
      <c r="B14" s="15">
        <v>45854</v>
      </c>
      <c r="C14" s="16"/>
      <c r="D14" s="16"/>
      <c r="E14" s="16"/>
      <c r="F14" s="17"/>
      <c r="G14" s="18"/>
      <c r="H14" s="49"/>
      <c r="I14" s="26"/>
    </row>
    <row r="15" spans="1:9" s="21" customFormat="1" ht="15" customHeight="1">
      <c r="A15" s="14"/>
      <c r="B15" s="15">
        <v>45855</v>
      </c>
      <c r="C15" s="16"/>
      <c r="D15" s="16"/>
      <c r="E15" s="16"/>
      <c r="F15" s="17"/>
      <c r="G15" s="18">
        <v>5</v>
      </c>
      <c r="H15" s="49"/>
      <c r="I15" s="26"/>
    </row>
    <row r="16" spans="1:9" s="21" customFormat="1" ht="15" customHeight="1">
      <c r="A16" s="14"/>
      <c r="B16" s="15">
        <v>45872</v>
      </c>
      <c r="C16" s="16"/>
      <c r="D16" s="16"/>
      <c r="E16" s="16"/>
      <c r="F16" s="17"/>
      <c r="G16" s="18">
        <v>5</v>
      </c>
      <c r="H16" s="49"/>
      <c r="I16" s="26"/>
    </row>
    <row r="17" spans="1:9" s="21" customFormat="1" ht="15" customHeight="1">
      <c r="A17" s="14"/>
      <c r="B17" s="15"/>
      <c r="C17" s="16"/>
      <c r="D17" s="16"/>
      <c r="E17" s="16"/>
      <c r="F17" s="17"/>
      <c r="G17" s="18"/>
      <c r="H17" s="49"/>
      <c r="I17" s="26"/>
    </row>
    <row r="18" spans="1:9" ht="15" customHeight="1">
      <c r="A18" s="9"/>
      <c r="B18" s="3"/>
      <c r="C18" s="4"/>
      <c r="D18" s="4"/>
      <c r="E18" s="4"/>
      <c r="F18" s="5" t="str">
        <f t="shared" ref="F18" si="0">IF(D18="","",E18-D18)</f>
        <v/>
      </c>
      <c r="G18" s="10"/>
      <c r="H18" s="11" t="str">
        <f t="shared" ref="H18" si="1">IF(G18="","",ROUND(G18/F18,2))</f>
        <v/>
      </c>
      <c r="I18" s="6"/>
    </row>
    <row r="19" spans="1:9" ht="14.45" customHeight="1">
      <c r="A19" s="146" t="s">
        <v>15</v>
      </c>
      <c r="B19" s="147"/>
      <c r="C19" s="147"/>
      <c r="D19" s="147"/>
      <c r="E19" s="148"/>
      <c r="F19" s="34">
        <f>SUM(F9:F18)</f>
        <v>0</v>
      </c>
      <c r="G19" s="35">
        <f>SUM(G9:G18)</f>
        <v>29</v>
      </c>
      <c r="H19" s="11"/>
      <c r="I19" s="36"/>
    </row>
  </sheetData>
  <mergeCells count="2">
    <mergeCell ref="B2:I2"/>
    <mergeCell ref="A19:E19"/>
  </mergeCells>
  <pageMargins left="0.7" right="0.7" top="0.75" bottom="0.75" header="0.3" footer="0.3"/>
  <pageSetup paperSize="9" scale="68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N77"/>
  <sheetViews>
    <sheetView showGridLines="0" topLeftCell="A2" zoomScale="110" zoomScaleNormal="110" zoomScaleSheetLayoutView="100" workbookViewId="0">
      <pane ySplit="7" topLeftCell="A60" activePane="bottomLeft" state="frozen"/>
      <selection activeCell="G11" sqref="G11"/>
      <selection pane="bottomLeft" activeCell="N62" sqref="N62"/>
    </sheetView>
  </sheetViews>
  <sheetFormatPr baseColWidth="10" defaultColWidth="11.5703125" defaultRowHeight="12.75"/>
  <cols>
    <col min="1" max="1" width="12.5703125" style="1" customWidth="1"/>
    <col min="2" max="2" width="9.5703125" style="1" customWidth="1"/>
    <col min="3" max="3" width="13.7109375" style="1" customWidth="1"/>
    <col min="4" max="4" width="11.42578125" style="7" hidden="1" customWidth="1"/>
    <col min="5" max="5" width="12" style="7" hidden="1" customWidth="1"/>
    <col min="6" max="6" width="12.140625" style="1" hidden="1" customWidth="1"/>
    <col min="7" max="7" width="14.42578125" style="7" customWidth="1"/>
    <col min="8" max="8" width="11.85546875" style="8" customWidth="1"/>
    <col min="9" max="9" width="41.28515625" style="1" customWidth="1"/>
    <col min="10" max="16384" width="11.5703125" style="1"/>
  </cols>
  <sheetData>
    <row r="2" spans="1:9" ht="32.450000000000003" customHeight="1">
      <c r="B2" s="145" t="s">
        <v>5</v>
      </c>
      <c r="C2" s="145"/>
      <c r="D2" s="145"/>
      <c r="E2" s="145"/>
      <c r="F2" s="145"/>
      <c r="G2" s="145"/>
      <c r="H2" s="145"/>
      <c r="I2" s="145"/>
    </row>
    <row r="3" spans="1:9" ht="30" customHeight="1">
      <c r="A3" s="2" t="s">
        <v>11</v>
      </c>
      <c r="B3" s="162" t="s">
        <v>239</v>
      </c>
      <c r="C3" s="162"/>
      <c r="D3" s="162"/>
      <c r="E3" s="162"/>
      <c r="F3" s="162"/>
      <c r="G3" s="162"/>
      <c r="H3" s="162"/>
      <c r="I3" s="162"/>
    </row>
    <row r="4" spans="1:9">
      <c r="A4" s="2" t="s">
        <v>8</v>
      </c>
      <c r="B4" s="1" t="s">
        <v>40</v>
      </c>
      <c r="D4" s="1"/>
      <c r="E4" s="1"/>
      <c r="G4" s="1"/>
      <c r="H4" s="1"/>
    </row>
    <row r="5" spans="1:9">
      <c r="A5" s="2" t="s">
        <v>9</v>
      </c>
      <c r="B5" s="1" t="s">
        <v>56</v>
      </c>
      <c r="D5" s="1"/>
      <c r="E5" s="1"/>
      <c r="G5" s="92"/>
      <c r="H5" s="1"/>
    </row>
    <row r="6" spans="1:9">
      <c r="A6" s="2" t="s">
        <v>10</v>
      </c>
      <c r="B6" s="1" t="s">
        <v>57</v>
      </c>
      <c r="D6" s="1"/>
      <c r="E6" s="1"/>
      <c r="G6" s="96"/>
      <c r="H6" s="1"/>
    </row>
    <row r="7" spans="1:9">
      <c r="G7" s="1"/>
    </row>
    <row r="8" spans="1:9" s="13" customFormat="1" ht="28.5" customHeight="1">
      <c r="A8" s="12" t="s">
        <v>13</v>
      </c>
      <c r="B8" s="12" t="s">
        <v>0</v>
      </c>
      <c r="C8" s="12" t="s">
        <v>14</v>
      </c>
      <c r="D8" s="12" t="s">
        <v>6</v>
      </c>
      <c r="E8" s="12" t="s">
        <v>7</v>
      </c>
      <c r="F8" s="12" t="s">
        <v>3</v>
      </c>
      <c r="G8" s="12" t="s">
        <v>1</v>
      </c>
      <c r="H8" s="12" t="s">
        <v>4</v>
      </c>
      <c r="I8" s="12" t="s">
        <v>2</v>
      </c>
    </row>
    <row r="9" spans="1:9" s="21" customFormat="1" ht="31.5" customHeight="1">
      <c r="A9" s="14" t="s">
        <v>160</v>
      </c>
      <c r="B9" s="15">
        <v>45845</v>
      </c>
      <c r="C9" s="16">
        <v>10380.1</v>
      </c>
      <c r="D9" s="16">
        <v>10380.1</v>
      </c>
      <c r="E9" s="16">
        <v>10388</v>
      </c>
      <c r="F9" s="17">
        <f>+E9-D9</f>
        <v>7.8999999999996362</v>
      </c>
      <c r="G9" s="28"/>
      <c r="H9" s="19"/>
      <c r="I9" s="24" t="s">
        <v>61</v>
      </c>
    </row>
    <row r="10" spans="1:9" s="32" customFormat="1" ht="15" customHeight="1">
      <c r="A10" s="14" t="s">
        <v>161</v>
      </c>
      <c r="B10" s="15">
        <v>45846</v>
      </c>
      <c r="C10" s="29">
        <v>10392.799999999999</v>
      </c>
      <c r="D10" s="29">
        <f t="shared" ref="D10:D16" si="0">+E9</f>
        <v>10388</v>
      </c>
      <c r="E10" s="29">
        <v>10396.6</v>
      </c>
      <c r="F10" s="17">
        <f>+E10-D10</f>
        <v>8.6000000000003638</v>
      </c>
      <c r="G10" s="28">
        <v>79.06</v>
      </c>
      <c r="H10" s="52"/>
      <c r="I10" s="31" t="s">
        <v>74</v>
      </c>
    </row>
    <row r="11" spans="1:9" s="32" customFormat="1" ht="15" customHeight="1">
      <c r="A11" s="14" t="s">
        <v>162</v>
      </c>
      <c r="B11" s="15">
        <v>45847</v>
      </c>
      <c r="C11" s="29">
        <v>10401.6</v>
      </c>
      <c r="D11" s="29">
        <f t="shared" si="0"/>
        <v>10396.6</v>
      </c>
      <c r="E11" s="29">
        <v>10405.6</v>
      </c>
      <c r="F11" s="17">
        <f t="shared" ref="F11:F61" si="1">+E11-D11</f>
        <v>9</v>
      </c>
      <c r="G11" s="28">
        <v>39.9</v>
      </c>
      <c r="H11" s="52"/>
      <c r="I11" s="31" t="s">
        <v>74</v>
      </c>
    </row>
    <row r="12" spans="1:9" s="21" customFormat="1" ht="15" customHeight="1">
      <c r="A12" s="14" t="s">
        <v>163</v>
      </c>
      <c r="B12" s="15">
        <v>45848</v>
      </c>
      <c r="C12" s="16"/>
      <c r="D12" s="16">
        <f t="shared" si="0"/>
        <v>10405.6</v>
      </c>
      <c r="E12" s="16">
        <v>10415.6</v>
      </c>
      <c r="F12" s="17">
        <f t="shared" si="1"/>
        <v>10</v>
      </c>
      <c r="G12" s="28"/>
      <c r="H12" s="49"/>
      <c r="I12" s="26"/>
    </row>
    <row r="13" spans="1:9" s="21" customFormat="1" ht="15" customHeight="1">
      <c r="A13" s="14" t="s">
        <v>164</v>
      </c>
      <c r="B13" s="15">
        <v>45849</v>
      </c>
      <c r="C13" s="16">
        <v>10415.799999999999</v>
      </c>
      <c r="D13" s="16">
        <f t="shared" si="0"/>
        <v>10415.6</v>
      </c>
      <c r="E13" s="16">
        <v>10424.299999999999</v>
      </c>
      <c r="F13" s="17">
        <f t="shared" si="1"/>
        <v>8.6999999999989086</v>
      </c>
      <c r="G13" s="18">
        <v>70</v>
      </c>
      <c r="H13" s="52"/>
      <c r="I13" s="26" t="s">
        <v>74</v>
      </c>
    </row>
    <row r="14" spans="1:9" s="21" customFormat="1" ht="15" customHeight="1">
      <c r="A14" s="14" t="s">
        <v>165</v>
      </c>
      <c r="B14" s="15">
        <v>45850</v>
      </c>
      <c r="C14" s="16">
        <v>10424.5</v>
      </c>
      <c r="D14" s="16">
        <f t="shared" si="0"/>
        <v>10424.299999999999</v>
      </c>
      <c r="E14" s="16">
        <v>10430.6</v>
      </c>
      <c r="F14" s="17">
        <f t="shared" si="1"/>
        <v>6.3000000000010914</v>
      </c>
      <c r="G14" s="18">
        <v>90</v>
      </c>
      <c r="H14" s="52"/>
      <c r="I14" s="26" t="s">
        <v>74</v>
      </c>
    </row>
    <row r="15" spans="1:9" s="21" customFormat="1" ht="15" customHeight="1">
      <c r="A15" s="14" t="s">
        <v>166</v>
      </c>
      <c r="B15" s="15">
        <v>45852</v>
      </c>
      <c r="C15" s="16">
        <v>10436.1</v>
      </c>
      <c r="D15" s="16">
        <f t="shared" si="0"/>
        <v>10430.6</v>
      </c>
      <c r="E15" s="16">
        <v>10439.799999999999</v>
      </c>
      <c r="F15" s="17">
        <f t="shared" si="1"/>
        <v>9.1999999999989086</v>
      </c>
      <c r="G15" s="18">
        <v>80</v>
      </c>
      <c r="H15" s="52"/>
      <c r="I15" s="31" t="s">
        <v>72</v>
      </c>
    </row>
    <row r="16" spans="1:9" s="21" customFormat="1" ht="15" customHeight="1">
      <c r="A16" s="14" t="s">
        <v>167</v>
      </c>
      <c r="B16" s="15">
        <v>45853</v>
      </c>
      <c r="C16" s="16">
        <v>10442.299999999999</v>
      </c>
      <c r="D16" s="16">
        <f t="shared" si="0"/>
        <v>10439.799999999999</v>
      </c>
      <c r="E16" s="16">
        <v>10449.4</v>
      </c>
      <c r="F16" s="17">
        <f t="shared" si="1"/>
        <v>9.6000000000003638</v>
      </c>
      <c r="G16" s="18">
        <v>70</v>
      </c>
      <c r="H16" s="52"/>
      <c r="I16" s="26" t="s">
        <v>82</v>
      </c>
    </row>
    <row r="17" spans="1:9" s="21" customFormat="1" ht="15" customHeight="1">
      <c r="A17" s="14"/>
      <c r="B17" s="15"/>
      <c r="C17" s="99">
        <f>+C16-C9</f>
        <v>62.199999999998909</v>
      </c>
      <c r="D17" s="99"/>
      <c r="E17" s="99"/>
      <c r="F17" s="100"/>
      <c r="G17" s="106">
        <f>SUM(G10:G16)</f>
        <v>428.96000000000004</v>
      </c>
      <c r="H17" s="52">
        <f>+G17/C17</f>
        <v>6.8964630225081605</v>
      </c>
      <c r="I17" s="102" t="s">
        <v>90</v>
      </c>
    </row>
    <row r="18" spans="1:9" s="21" customFormat="1" ht="15" customHeight="1">
      <c r="A18" s="14" t="s">
        <v>167</v>
      </c>
      <c r="B18" s="15">
        <v>45853</v>
      </c>
      <c r="C18" s="16">
        <v>10445.5</v>
      </c>
      <c r="D18" s="16"/>
      <c r="E18" s="16"/>
      <c r="F18" s="17">
        <f t="shared" si="1"/>
        <v>0</v>
      </c>
      <c r="G18" s="18">
        <v>12</v>
      </c>
      <c r="H18" s="52"/>
      <c r="I18" s="26" t="s">
        <v>168</v>
      </c>
    </row>
    <row r="19" spans="1:9" s="21" customFormat="1" ht="15" customHeight="1">
      <c r="A19" s="14" t="s">
        <v>169</v>
      </c>
      <c r="B19" s="15">
        <v>45854</v>
      </c>
      <c r="C19" s="16"/>
      <c r="D19" s="16">
        <f>+E16</f>
        <v>10449.4</v>
      </c>
      <c r="E19" s="16">
        <v>10459.1</v>
      </c>
      <c r="F19" s="17">
        <f t="shared" si="1"/>
        <v>9.7000000000007276</v>
      </c>
      <c r="G19" s="18">
        <v>0</v>
      </c>
      <c r="H19" s="52"/>
      <c r="I19" s="26"/>
    </row>
    <row r="20" spans="1:9" s="21" customFormat="1" ht="14.25" customHeight="1">
      <c r="A20" s="14" t="s">
        <v>170</v>
      </c>
      <c r="B20" s="15">
        <v>45855</v>
      </c>
      <c r="C20" s="16">
        <v>10460.299999999999</v>
      </c>
      <c r="D20" s="16">
        <f>+E19</f>
        <v>10459.1</v>
      </c>
      <c r="E20" s="16">
        <v>10468.1</v>
      </c>
      <c r="F20" s="17">
        <f t="shared" si="1"/>
        <v>9</v>
      </c>
      <c r="G20" s="18">
        <v>75</v>
      </c>
      <c r="H20" s="52"/>
      <c r="I20" s="26" t="s">
        <v>93</v>
      </c>
    </row>
    <row r="21" spans="1:9" s="21" customFormat="1" ht="14.25" customHeight="1">
      <c r="A21" s="14" t="s">
        <v>171</v>
      </c>
      <c r="B21" s="15">
        <v>45856</v>
      </c>
      <c r="C21" s="16">
        <v>10471.1</v>
      </c>
      <c r="D21" s="16">
        <f>+E20</f>
        <v>10468.1</v>
      </c>
      <c r="E21" s="16">
        <v>10475.799999999999</v>
      </c>
      <c r="F21" s="17">
        <f t="shared" si="1"/>
        <v>7.6999999999989086</v>
      </c>
      <c r="G21" s="18">
        <v>39.43</v>
      </c>
      <c r="H21" s="52"/>
      <c r="I21" s="26" t="s">
        <v>98</v>
      </c>
    </row>
    <row r="22" spans="1:9" s="21" customFormat="1" ht="14.25" customHeight="1">
      <c r="A22" s="14" t="s">
        <v>172</v>
      </c>
      <c r="B22" s="15">
        <v>45857</v>
      </c>
      <c r="C22" s="16">
        <v>10477.799999999999</v>
      </c>
      <c r="D22" s="16">
        <f>+E21</f>
        <v>10475.799999999999</v>
      </c>
      <c r="E22" s="16">
        <v>10484</v>
      </c>
      <c r="F22" s="17">
        <f t="shared" si="1"/>
        <v>8.2000000000007276</v>
      </c>
      <c r="G22" s="18">
        <v>115</v>
      </c>
      <c r="H22" s="52"/>
      <c r="I22" s="26" t="s">
        <v>100</v>
      </c>
    </row>
    <row r="23" spans="1:9" s="21" customFormat="1" ht="14.25" customHeight="1">
      <c r="A23" s="14" t="s">
        <v>173</v>
      </c>
      <c r="B23" s="15">
        <v>45858</v>
      </c>
      <c r="C23" s="16"/>
      <c r="D23" s="16">
        <f>+E22</f>
        <v>10484</v>
      </c>
      <c r="E23" s="16">
        <v>10488.7</v>
      </c>
      <c r="F23" s="17">
        <f t="shared" si="1"/>
        <v>4.7000000000007276</v>
      </c>
      <c r="G23" s="18"/>
      <c r="H23" s="52"/>
      <c r="I23" s="26"/>
    </row>
    <row r="24" spans="1:9" s="21" customFormat="1" ht="15" customHeight="1">
      <c r="A24" s="14" t="s">
        <v>174</v>
      </c>
      <c r="B24" s="15">
        <v>45859</v>
      </c>
      <c r="C24" s="16">
        <v>10494.1</v>
      </c>
      <c r="D24" s="16">
        <f>+E23</f>
        <v>10488.7</v>
      </c>
      <c r="E24" s="16">
        <v>10498</v>
      </c>
      <c r="F24" s="17">
        <f t="shared" si="1"/>
        <v>9.2999999999992724</v>
      </c>
      <c r="G24" s="18">
        <v>75.599999999999994</v>
      </c>
      <c r="H24" s="52"/>
      <c r="I24" s="26" t="s">
        <v>99</v>
      </c>
    </row>
    <row r="25" spans="1:9" s="21" customFormat="1" ht="15" customHeight="1">
      <c r="A25" s="14"/>
      <c r="B25" s="15"/>
      <c r="C25" s="99">
        <f>+C24-C16</f>
        <v>51.800000000001091</v>
      </c>
      <c r="D25" s="99"/>
      <c r="E25" s="99"/>
      <c r="F25" s="100"/>
      <c r="G25" s="106">
        <f>SUM(G18:G24)</f>
        <v>317.02999999999997</v>
      </c>
      <c r="H25" s="52">
        <f>+G25/C25</f>
        <v>6.120270270270141</v>
      </c>
      <c r="I25" s="102" t="s">
        <v>90</v>
      </c>
    </row>
    <row r="26" spans="1:9" s="21" customFormat="1" ht="15" customHeight="1">
      <c r="A26" s="14" t="s">
        <v>175</v>
      </c>
      <c r="B26" s="15">
        <v>45860</v>
      </c>
      <c r="C26" s="16">
        <v>10505.1</v>
      </c>
      <c r="D26" s="16">
        <f>+E24</f>
        <v>10498</v>
      </c>
      <c r="E26" s="16">
        <v>10507.1</v>
      </c>
      <c r="F26" s="17">
        <f t="shared" si="1"/>
        <v>9.1000000000003638</v>
      </c>
      <c r="G26" s="18">
        <v>56</v>
      </c>
      <c r="H26" s="48"/>
      <c r="I26" s="26"/>
    </row>
    <row r="27" spans="1:9" s="21" customFormat="1" ht="15" customHeight="1">
      <c r="A27" s="14" t="s">
        <v>176</v>
      </c>
      <c r="B27" s="15">
        <v>45861</v>
      </c>
      <c r="C27" s="16"/>
      <c r="D27" s="16">
        <f>+E26</f>
        <v>10507.1</v>
      </c>
      <c r="E27" s="16">
        <v>10517</v>
      </c>
      <c r="F27" s="17">
        <f t="shared" si="1"/>
        <v>9.8999999999996362</v>
      </c>
      <c r="G27" s="18"/>
      <c r="H27" s="48"/>
      <c r="I27" s="26"/>
    </row>
    <row r="28" spans="1:9" s="21" customFormat="1" ht="15" customHeight="1">
      <c r="A28" s="14" t="s">
        <v>177</v>
      </c>
      <c r="B28" s="15">
        <v>45862</v>
      </c>
      <c r="C28" s="16">
        <v>10517</v>
      </c>
      <c r="D28" s="16">
        <v>10517</v>
      </c>
      <c r="E28" s="16">
        <v>10526.5</v>
      </c>
      <c r="F28" s="17">
        <f t="shared" si="1"/>
        <v>9.5</v>
      </c>
      <c r="G28" s="18">
        <v>102.19</v>
      </c>
      <c r="H28" s="52"/>
      <c r="I28" s="26"/>
    </row>
    <row r="29" spans="1:9" s="21" customFormat="1" ht="15" customHeight="1">
      <c r="A29" s="14" t="s">
        <v>156</v>
      </c>
      <c r="B29" s="15">
        <v>45863</v>
      </c>
      <c r="C29" s="16">
        <v>10531.9</v>
      </c>
      <c r="D29" s="16">
        <f>+E28</f>
        <v>10526.5</v>
      </c>
      <c r="E29" s="16">
        <v>10536.7</v>
      </c>
      <c r="F29" s="17">
        <f t="shared" si="1"/>
        <v>10.200000000000728</v>
      </c>
      <c r="G29" s="18">
        <v>101.07</v>
      </c>
      <c r="H29" s="52"/>
      <c r="I29" s="26" t="s">
        <v>99</v>
      </c>
    </row>
    <row r="30" spans="1:9" s="21" customFormat="1" ht="15" customHeight="1">
      <c r="A30" s="14"/>
      <c r="B30" s="15"/>
      <c r="C30" s="99">
        <f>+C29-C24</f>
        <v>37.799999999999272</v>
      </c>
      <c r="D30" s="99"/>
      <c r="E30" s="99"/>
      <c r="F30" s="100"/>
      <c r="G30" s="106">
        <f>+G29+G28+G26</f>
        <v>259.26</v>
      </c>
      <c r="H30" s="52">
        <f>+G30/C30</f>
        <v>6.8587301587302907</v>
      </c>
      <c r="I30" s="102" t="s">
        <v>90</v>
      </c>
    </row>
    <row r="31" spans="1:9" s="21" customFormat="1" ht="15" customHeight="1">
      <c r="A31" s="14" t="s">
        <v>157</v>
      </c>
      <c r="B31" s="15">
        <v>45864</v>
      </c>
      <c r="C31" s="16"/>
      <c r="D31" s="16">
        <f>+E29</f>
        <v>10536.7</v>
      </c>
      <c r="E31" s="16">
        <v>10542.6</v>
      </c>
      <c r="F31" s="17">
        <f t="shared" si="1"/>
        <v>5.8999999999996362</v>
      </c>
      <c r="G31" s="18"/>
      <c r="H31" s="49"/>
      <c r="I31" s="26"/>
    </row>
    <row r="32" spans="1:9" s="21" customFormat="1" ht="15" customHeight="1">
      <c r="A32" s="14" t="s">
        <v>158</v>
      </c>
      <c r="B32" s="15">
        <v>45868</v>
      </c>
      <c r="C32" s="16">
        <v>10543.2</v>
      </c>
      <c r="D32" s="16">
        <f>+E31</f>
        <v>10542.6</v>
      </c>
      <c r="E32" s="16">
        <v>10550.8</v>
      </c>
      <c r="F32" s="17">
        <f t="shared" si="1"/>
        <v>8.1999999999989086</v>
      </c>
      <c r="G32" s="18">
        <v>81</v>
      </c>
      <c r="H32" s="49">
        <f>+G32/(C32-C29)</f>
        <v>7.1681415929196612</v>
      </c>
      <c r="I32" s="26" t="s">
        <v>99</v>
      </c>
    </row>
    <row r="33" spans="1:9" s="21" customFormat="1" ht="15" customHeight="1">
      <c r="A33" s="14" t="s">
        <v>159</v>
      </c>
      <c r="B33" s="15">
        <v>45869</v>
      </c>
      <c r="C33" s="16"/>
      <c r="D33" s="16">
        <f>+E32</f>
        <v>10550.8</v>
      </c>
      <c r="E33" s="16">
        <v>10560</v>
      </c>
      <c r="F33" s="17">
        <f t="shared" si="1"/>
        <v>9.2000000000007276</v>
      </c>
      <c r="G33" s="18"/>
      <c r="H33" s="48"/>
      <c r="I33" s="26"/>
    </row>
    <row r="34" spans="1:9" s="21" customFormat="1" ht="15" customHeight="1">
      <c r="A34" s="14" t="s">
        <v>280</v>
      </c>
      <c r="B34" s="15">
        <v>45870</v>
      </c>
      <c r="C34" s="16"/>
      <c r="D34" s="16">
        <v>10560</v>
      </c>
      <c r="E34" s="16">
        <v>10560</v>
      </c>
      <c r="F34" s="17">
        <f t="shared" si="1"/>
        <v>0</v>
      </c>
      <c r="G34" s="18"/>
      <c r="H34" s="48"/>
      <c r="I34" s="26" t="s">
        <v>281</v>
      </c>
    </row>
    <row r="35" spans="1:9" s="21" customFormat="1" ht="15" customHeight="1">
      <c r="A35" s="14" t="s">
        <v>282</v>
      </c>
      <c r="B35" s="15">
        <v>45871</v>
      </c>
      <c r="C35" s="16">
        <v>10560</v>
      </c>
      <c r="D35" s="16">
        <f>+E33</f>
        <v>10560</v>
      </c>
      <c r="E35" s="16">
        <v>10570</v>
      </c>
      <c r="F35" s="17">
        <f t="shared" si="1"/>
        <v>10</v>
      </c>
      <c r="G35" s="18">
        <v>104</v>
      </c>
      <c r="H35" s="49">
        <f>+G35/(C35-C32)</f>
        <v>6.1904761904764589</v>
      </c>
      <c r="I35" s="26" t="s">
        <v>99</v>
      </c>
    </row>
    <row r="36" spans="1:9" ht="15" customHeight="1">
      <c r="A36" s="9" t="s">
        <v>283</v>
      </c>
      <c r="B36" s="3">
        <v>45872</v>
      </c>
      <c r="C36" s="4"/>
      <c r="D36" s="4">
        <v>10570</v>
      </c>
      <c r="E36" s="4">
        <v>10577.4</v>
      </c>
      <c r="F36" s="17">
        <f t="shared" si="1"/>
        <v>7.3999999999996362</v>
      </c>
      <c r="G36" s="10"/>
      <c r="H36" s="11"/>
      <c r="I36" s="6" t="s">
        <v>284</v>
      </c>
    </row>
    <row r="37" spans="1:9" ht="15" customHeight="1">
      <c r="A37" s="9" t="s">
        <v>285</v>
      </c>
      <c r="B37" s="3">
        <v>45873</v>
      </c>
      <c r="C37" s="4">
        <v>10577.8</v>
      </c>
      <c r="D37" s="4">
        <v>10577.4</v>
      </c>
      <c r="E37" s="4">
        <v>10586.8</v>
      </c>
      <c r="F37" s="17">
        <f t="shared" si="1"/>
        <v>9.3999999999996362</v>
      </c>
      <c r="G37" s="10">
        <v>110.95</v>
      </c>
      <c r="H37" s="49">
        <f>+G37/(C37-C35)</f>
        <v>6.2331460674159853</v>
      </c>
      <c r="I37" s="26" t="s">
        <v>99</v>
      </c>
    </row>
    <row r="38" spans="1:9" ht="15" customHeight="1">
      <c r="A38" s="9" t="s">
        <v>286</v>
      </c>
      <c r="B38" s="3">
        <v>45874</v>
      </c>
      <c r="C38" s="4">
        <v>10586.8</v>
      </c>
      <c r="D38" s="4">
        <v>10586.8</v>
      </c>
      <c r="E38" s="4">
        <v>10596.8</v>
      </c>
      <c r="F38" s="17">
        <f t="shared" si="1"/>
        <v>10</v>
      </c>
      <c r="G38" s="10">
        <v>38.79</v>
      </c>
      <c r="H38" s="49"/>
      <c r="I38" s="26" t="s">
        <v>287</v>
      </c>
    </row>
    <row r="39" spans="1:9" ht="15" customHeight="1">
      <c r="A39" s="9" t="s">
        <v>288</v>
      </c>
      <c r="B39" s="3">
        <v>45875</v>
      </c>
      <c r="C39" s="4">
        <v>10599.9</v>
      </c>
      <c r="D39" s="4">
        <v>10596.8</v>
      </c>
      <c r="E39" s="4">
        <v>10599.9</v>
      </c>
      <c r="F39" s="17">
        <f t="shared" si="1"/>
        <v>3.1000000000003638</v>
      </c>
      <c r="G39" s="10">
        <v>81.415000000000006</v>
      </c>
      <c r="H39" s="49">
        <f>+G39/(C39-C38)</f>
        <v>6.214885496183034</v>
      </c>
      <c r="I39" s="26" t="s">
        <v>289</v>
      </c>
    </row>
    <row r="40" spans="1:9" ht="15" customHeight="1">
      <c r="A40" s="9" t="s">
        <v>291</v>
      </c>
      <c r="B40" s="3">
        <v>45876</v>
      </c>
      <c r="C40" s="4">
        <v>10599.9</v>
      </c>
      <c r="D40" s="4">
        <v>10599.9</v>
      </c>
      <c r="E40" s="4"/>
      <c r="F40" s="17">
        <f t="shared" si="1"/>
        <v>-10599.9</v>
      </c>
      <c r="G40" s="10">
        <v>-118</v>
      </c>
      <c r="H40" s="49"/>
      <c r="I40" s="26" t="s">
        <v>290</v>
      </c>
    </row>
    <row r="41" spans="1:9" ht="15" customHeight="1">
      <c r="A41" s="9"/>
      <c r="B41" s="3"/>
      <c r="C41" s="111">
        <f>+C39-C37</f>
        <v>22.100000000000364</v>
      </c>
      <c r="D41" s="111"/>
      <c r="E41" s="111"/>
      <c r="F41" s="121"/>
      <c r="G41" s="35">
        <f>+G38+G39</f>
        <v>120.20500000000001</v>
      </c>
      <c r="H41" s="11">
        <f>+G41/C41</f>
        <v>5.4391402714931241</v>
      </c>
      <c r="I41" s="102" t="s">
        <v>90</v>
      </c>
    </row>
    <row r="42" spans="1:9" ht="15" customHeight="1">
      <c r="A42" s="9" t="s">
        <v>292</v>
      </c>
      <c r="B42" s="3">
        <v>45878</v>
      </c>
      <c r="C42" s="4">
        <v>10601</v>
      </c>
      <c r="D42" s="4">
        <v>10599.9</v>
      </c>
      <c r="E42" s="4">
        <v>10603.6</v>
      </c>
      <c r="F42" s="17">
        <f t="shared" si="1"/>
        <v>3.7000000000007276</v>
      </c>
      <c r="G42" s="10">
        <v>37.44</v>
      </c>
      <c r="H42" s="49"/>
      <c r="I42" s="6" t="s">
        <v>293</v>
      </c>
    </row>
    <row r="43" spans="1:9" ht="15" customHeight="1">
      <c r="A43" s="9" t="s">
        <v>295</v>
      </c>
      <c r="B43" s="3">
        <v>45880</v>
      </c>
      <c r="C43" s="4"/>
      <c r="D43" s="4">
        <v>10603.6</v>
      </c>
      <c r="E43" s="4">
        <v>10606.6</v>
      </c>
      <c r="F43" s="17">
        <f t="shared" si="1"/>
        <v>3</v>
      </c>
      <c r="G43" s="10"/>
      <c r="H43" s="49"/>
      <c r="I43" s="6" t="s">
        <v>294</v>
      </c>
    </row>
    <row r="44" spans="1:9" ht="15" customHeight="1">
      <c r="A44" s="9" t="s">
        <v>296</v>
      </c>
      <c r="B44" s="3">
        <v>45881</v>
      </c>
      <c r="C44" s="4"/>
      <c r="D44" s="4">
        <v>10606.6</v>
      </c>
      <c r="E44" s="4">
        <v>10606.6</v>
      </c>
      <c r="F44" s="17">
        <f t="shared" si="1"/>
        <v>0</v>
      </c>
      <c r="G44" s="10"/>
      <c r="H44" s="49"/>
      <c r="I44" s="6" t="s">
        <v>281</v>
      </c>
    </row>
    <row r="45" spans="1:9" ht="15" customHeight="1">
      <c r="A45" s="9" t="s">
        <v>297</v>
      </c>
      <c r="B45" s="3">
        <v>45882</v>
      </c>
      <c r="C45" s="4"/>
      <c r="D45" s="4">
        <f>+E44</f>
        <v>10606.6</v>
      </c>
      <c r="E45" s="4">
        <v>10614.4</v>
      </c>
      <c r="F45" s="17">
        <f t="shared" si="1"/>
        <v>7.7999999999992724</v>
      </c>
      <c r="G45" s="10"/>
      <c r="H45" s="49"/>
      <c r="I45" s="6"/>
    </row>
    <row r="46" spans="1:9" ht="15" customHeight="1">
      <c r="A46" s="9" t="s">
        <v>298</v>
      </c>
      <c r="B46" s="3">
        <v>45883</v>
      </c>
      <c r="C46" s="4">
        <v>10614</v>
      </c>
      <c r="D46" s="4">
        <v>10614.4</v>
      </c>
      <c r="E46" s="4">
        <v>10621.4</v>
      </c>
      <c r="F46" s="17">
        <f t="shared" si="1"/>
        <v>7</v>
      </c>
      <c r="G46" s="10">
        <v>80.11</v>
      </c>
      <c r="H46" s="49"/>
      <c r="I46" s="6" t="s">
        <v>293</v>
      </c>
    </row>
    <row r="47" spans="1:9" ht="15" customHeight="1">
      <c r="A47" s="9" t="s">
        <v>299</v>
      </c>
      <c r="B47" s="3">
        <v>45884</v>
      </c>
      <c r="C47" s="4">
        <v>10621</v>
      </c>
      <c r="D47" s="4">
        <v>10621.4</v>
      </c>
      <c r="E47" s="4">
        <v>10627.9</v>
      </c>
      <c r="F47" s="17">
        <f t="shared" si="1"/>
        <v>6.5</v>
      </c>
      <c r="G47" s="10">
        <v>31.4</v>
      </c>
      <c r="H47" s="49"/>
      <c r="I47" s="6" t="s">
        <v>293</v>
      </c>
    </row>
    <row r="48" spans="1:9" ht="15" customHeight="1">
      <c r="A48" s="9" t="s">
        <v>301</v>
      </c>
      <c r="B48" s="3">
        <v>45885</v>
      </c>
      <c r="C48" s="4"/>
      <c r="D48" s="4">
        <f t="shared" ref="D48:D54" si="2">+E47</f>
        <v>10627.9</v>
      </c>
      <c r="E48" s="4">
        <v>10630.3</v>
      </c>
      <c r="F48" s="17">
        <f t="shared" si="1"/>
        <v>2.3999999999996362</v>
      </c>
      <c r="G48" s="10"/>
      <c r="H48" s="49"/>
      <c r="I48" s="6" t="s">
        <v>300</v>
      </c>
    </row>
    <row r="49" spans="1:14" ht="15" customHeight="1">
      <c r="A49" s="9" t="s">
        <v>302</v>
      </c>
      <c r="B49" s="3">
        <v>45889</v>
      </c>
      <c r="C49" s="4"/>
      <c r="D49" s="4">
        <f t="shared" si="2"/>
        <v>10630.3</v>
      </c>
      <c r="E49" s="4">
        <v>10636.5</v>
      </c>
      <c r="F49" s="17">
        <f t="shared" si="1"/>
        <v>6.2000000000007276</v>
      </c>
      <c r="G49" s="10"/>
      <c r="H49" s="49"/>
      <c r="I49" s="6"/>
    </row>
    <row r="50" spans="1:14" ht="15" customHeight="1">
      <c r="A50" s="9" t="s">
        <v>303</v>
      </c>
      <c r="B50" s="3">
        <v>45890</v>
      </c>
      <c r="C50" s="4">
        <v>10637.4</v>
      </c>
      <c r="D50" s="4">
        <f t="shared" si="2"/>
        <v>10636.5</v>
      </c>
      <c r="E50" s="4">
        <v>10645.3</v>
      </c>
      <c r="F50" s="17">
        <f t="shared" si="1"/>
        <v>8.7999999999992724</v>
      </c>
      <c r="G50" s="10">
        <v>91.6</v>
      </c>
      <c r="H50" s="49"/>
      <c r="I50" s="6" t="s">
        <v>293</v>
      </c>
    </row>
    <row r="51" spans="1:14" ht="15" customHeight="1">
      <c r="A51" s="9" t="s">
        <v>304</v>
      </c>
      <c r="B51" s="3">
        <v>45891</v>
      </c>
      <c r="C51" s="4">
        <v>10645.5</v>
      </c>
      <c r="D51" s="4">
        <f t="shared" si="2"/>
        <v>10645.3</v>
      </c>
      <c r="E51" s="4">
        <v>10655.4</v>
      </c>
      <c r="F51" s="17">
        <f t="shared" si="1"/>
        <v>10.100000000000364</v>
      </c>
      <c r="G51" s="10">
        <v>40</v>
      </c>
      <c r="H51" s="49"/>
      <c r="I51" s="6" t="s">
        <v>293</v>
      </c>
    </row>
    <row r="52" spans="1:14" ht="15" customHeight="1">
      <c r="A52" s="9" t="s">
        <v>305</v>
      </c>
      <c r="B52" s="3">
        <v>45892</v>
      </c>
      <c r="C52" s="4">
        <v>10658.2</v>
      </c>
      <c r="D52" s="4">
        <f t="shared" si="2"/>
        <v>10655.4</v>
      </c>
      <c r="E52" s="4">
        <v>10663.4</v>
      </c>
      <c r="F52" s="17">
        <f t="shared" si="1"/>
        <v>8</v>
      </c>
      <c r="G52" s="10">
        <v>55.65</v>
      </c>
      <c r="H52" s="49"/>
      <c r="I52" s="6" t="s">
        <v>293</v>
      </c>
    </row>
    <row r="53" spans="1:14" ht="15" customHeight="1">
      <c r="A53" s="9" t="s">
        <v>306</v>
      </c>
      <c r="B53" s="3">
        <v>45894</v>
      </c>
      <c r="C53" s="4">
        <v>10668.5</v>
      </c>
      <c r="D53" s="4">
        <f t="shared" si="2"/>
        <v>10663.4</v>
      </c>
      <c r="E53" s="4">
        <v>10672.4</v>
      </c>
      <c r="F53" s="17">
        <f t="shared" si="1"/>
        <v>9</v>
      </c>
      <c r="G53" s="10">
        <v>96.6</v>
      </c>
      <c r="H53" s="49"/>
      <c r="I53" s="6" t="s">
        <v>99</v>
      </c>
    </row>
    <row r="54" spans="1:14" ht="15" customHeight="1">
      <c r="A54" s="9" t="s">
        <v>307</v>
      </c>
      <c r="B54" s="3">
        <v>45895</v>
      </c>
      <c r="C54" s="4">
        <v>10672.3</v>
      </c>
      <c r="D54" s="4">
        <f t="shared" si="2"/>
        <v>10672.4</v>
      </c>
      <c r="E54" s="4">
        <v>10681.4</v>
      </c>
      <c r="F54" s="17">
        <f t="shared" si="1"/>
        <v>9</v>
      </c>
      <c r="G54" s="10">
        <v>44.51</v>
      </c>
      <c r="H54" s="49">
        <f>+G54/(C54-C53)</f>
        <v>11.713157894739084</v>
      </c>
      <c r="I54" s="6" t="s">
        <v>99</v>
      </c>
    </row>
    <row r="55" spans="1:14" ht="15" customHeight="1">
      <c r="A55" s="9"/>
      <c r="B55" s="3"/>
      <c r="C55" s="111">
        <f>+C54-C39</f>
        <v>72.399999999999636</v>
      </c>
      <c r="D55" s="111"/>
      <c r="E55" s="111"/>
      <c r="F55" s="17"/>
      <c r="G55" s="35">
        <f>SUM(G42:G54)</f>
        <v>477.30999999999995</v>
      </c>
      <c r="H55" s="49">
        <f>+G55/C55</f>
        <v>6.5926795580110822</v>
      </c>
      <c r="I55" s="102" t="s">
        <v>90</v>
      </c>
    </row>
    <row r="56" spans="1:14" ht="15" customHeight="1">
      <c r="A56" s="9" t="s">
        <v>308</v>
      </c>
      <c r="B56" s="3">
        <v>45896</v>
      </c>
      <c r="C56" s="4">
        <v>10682.6</v>
      </c>
      <c r="D56" s="4">
        <f>+E54</f>
        <v>10681.4</v>
      </c>
      <c r="E56" s="4">
        <v>10691.9</v>
      </c>
      <c r="F56" s="17">
        <f t="shared" si="1"/>
        <v>10.5</v>
      </c>
      <c r="G56" s="10">
        <v>57.63</v>
      </c>
      <c r="H56" s="49">
        <f>+G56/(C56-C54)</f>
        <v>5.5951456310673686</v>
      </c>
      <c r="I56" s="6" t="s">
        <v>99</v>
      </c>
    </row>
    <row r="57" spans="1:14" ht="15" customHeight="1">
      <c r="A57" s="9" t="s">
        <v>309</v>
      </c>
      <c r="B57" s="3">
        <v>45897</v>
      </c>
      <c r="C57" s="4">
        <v>10693.6</v>
      </c>
      <c r="D57" s="4">
        <f>+E56</f>
        <v>10691.9</v>
      </c>
      <c r="E57" s="4">
        <v>10702.4</v>
      </c>
      <c r="F57" s="17">
        <f t="shared" si="1"/>
        <v>10.5</v>
      </c>
      <c r="G57" s="10">
        <v>55.42</v>
      </c>
      <c r="H57" s="49">
        <f t="shared" ref="H57:H62" si="3">+G57/(C57-C56)</f>
        <v>5.0381818181818181</v>
      </c>
      <c r="I57" s="6" t="s">
        <v>255</v>
      </c>
    </row>
    <row r="58" spans="1:14" ht="15" customHeight="1">
      <c r="A58" s="9" t="s">
        <v>310</v>
      </c>
      <c r="B58" s="3">
        <v>45898</v>
      </c>
      <c r="C58" s="4">
        <v>10703</v>
      </c>
      <c r="D58" s="4">
        <f>+E57</f>
        <v>10702.4</v>
      </c>
      <c r="E58" s="4">
        <v>10712.9</v>
      </c>
      <c r="F58" s="17">
        <f t="shared" si="1"/>
        <v>10.5</v>
      </c>
      <c r="G58" s="10">
        <v>79.25</v>
      </c>
      <c r="H58" s="49">
        <f t="shared" si="3"/>
        <v>8.4308510638301133</v>
      </c>
      <c r="I58" s="6" t="s">
        <v>99</v>
      </c>
    </row>
    <row r="59" spans="1:14" ht="15" customHeight="1">
      <c r="A59" s="9" t="s">
        <v>311</v>
      </c>
      <c r="B59" s="3">
        <v>45899</v>
      </c>
      <c r="C59" s="4">
        <v>10713.2</v>
      </c>
      <c r="D59" s="4">
        <f>+E58</f>
        <v>10712.9</v>
      </c>
      <c r="E59" s="4">
        <v>10722.9</v>
      </c>
      <c r="F59" s="17">
        <f t="shared" si="1"/>
        <v>10</v>
      </c>
      <c r="G59" s="10">
        <v>71.27</v>
      </c>
      <c r="H59" s="49">
        <f t="shared" si="3"/>
        <v>6.9872549019602852</v>
      </c>
      <c r="I59" s="6" t="s">
        <v>99</v>
      </c>
    </row>
    <row r="60" spans="1:14" ht="15" customHeight="1">
      <c r="A60" s="9" t="s">
        <v>312</v>
      </c>
      <c r="B60" s="3">
        <v>45900</v>
      </c>
      <c r="C60" s="138">
        <v>10722</v>
      </c>
      <c r="D60" s="4">
        <f>+E59</f>
        <v>10722.9</v>
      </c>
      <c r="E60" s="4">
        <v>10729.9</v>
      </c>
      <c r="F60" s="17">
        <f t="shared" si="1"/>
        <v>7</v>
      </c>
      <c r="G60" s="10">
        <v>62.56</v>
      </c>
      <c r="H60" s="49">
        <f t="shared" si="3"/>
        <v>7.1090909090914973</v>
      </c>
      <c r="I60" s="6" t="s">
        <v>99</v>
      </c>
      <c r="J60" s="37"/>
      <c r="M60" s="1">
        <v>1000</v>
      </c>
      <c r="N60" s="1">
        <v>120</v>
      </c>
    </row>
    <row r="61" spans="1:14" ht="15" customHeight="1">
      <c r="A61" s="9"/>
      <c r="B61" s="3">
        <v>45901</v>
      </c>
      <c r="C61" s="4">
        <v>10732.4</v>
      </c>
      <c r="D61" s="4"/>
      <c r="E61" s="4"/>
      <c r="F61" s="17">
        <f t="shared" si="1"/>
        <v>0</v>
      </c>
      <c r="G61" s="10">
        <v>55.1</v>
      </c>
      <c r="H61" s="49">
        <f t="shared" si="3"/>
        <v>5.298076923077109</v>
      </c>
      <c r="I61" s="6" t="s">
        <v>99</v>
      </c>
      <c r="M61" s="1">
        <v>1010</v>
      </c>
    </row>
    <row r="62" spans="1:14" ht="15" customHeight="1">
      <c r="A62" s="9"/>
      <c r="B62" s="3">
        <v>45903</v>
      </c>
      <c r="C62" s="4">
        <v>10752.5</v>
      </c>
      <c r="D62" s="4"/>
      <c r="E62" s="4"/>
      <c r="F62" s="17"/>
      <c r="G62" s="10">
        <v>112.59</v>
      </c>
      <c r="H62" s="49">
        <f t="shared" si="3"/>
        <v>5.601492537313332</v>
      </c>
      <c r="I62" s="6" t="s">
        <v>99</v>
      </c>
    </row>
    <row r="63" spans="1:14" ht="15" customHeight="1">
      <c r="A63" s="9"/>
      <c r="B63" s="3">
        <v>45903</v>
      </c>
      <c r="C63" s="4">
        <v>10752.5</v>
      </c>
      <c r="D63" s="4"/>
      <c r="E63" s="4"/>
      <c r="F63" s="17"/>
      <c r="G63" s="10">
        <v>-129.71</v>
      </c>
      <c r="H63" s="49"/>
      <c r="I63" s="6" t="s">
        <v>324</v>
      </c>
    </row>
    <row r="64" spans="1:14" ht="15" customHeight="1">
      <c r="A64" s="9"/>
      <c r="B64" s="3">
        <v>45903</v>
      </c>
      <c r="C64" s="4">
        <v>10752.8</v>
      </c>
      <c r="D64" s="4"/>
      <c r="E64" s="4"/>
      <c r="F64" s="5"/>
      <c r="G64" s="10">
        <v>129.31</v>
      </c>
      <c r="H64" s="49">
        <f>+G64/(C64-C61)</f>
        <v>6.3387254901961914</v>
      </c>
      <c r="I64" s="6" t="s">
        <v>99</v>
      </c>
    </row>
    <row r="65" spans="1:10" ht="15" customHeight="1">
      <c r="A65" s="9"/>
      <c r="B65" s="3">
        <v>45906</v>
      </c>
      <c r="C65" s="4">
        <v>10774.2</v>
      </c>
      <c r="D65" s="4"/>
      <c r="E65" s="4"/>
      <c r="F65" s="5"/>
      <c r="G65" s="10">
        <v>70.03</v>
      </c>
      <c r="H65" s="49"/>
      <c r="I65" s="6" t="s">
        <v>255</v>
      </c>
    </row>
    <row r="66" spans="1:10" ht="15" customHeight="1">
      <c r="A66" s="9"/>
      <c r="B66" s="3">
        <v>45907</v>
      </c>
      <c r="C66" s="4">
        <v>10780.5</v>
      </c>
      <c r="D66" s="4"/>
      <c r="E66" s="4"/>
      <c r="F66" s="5"/>
      <c r="G66" s="10">
        <v>84</v>
      </c>
      <c r="H66" s="49"/>
      <c r="I66" s="6" t="s">
        <v>99</v>
      </c>
    </row>
    <row r="67" spans="1:10" ht="15" customHeight="1">
      <c r="A67" s="9"/>
      <c r="B67" s="3"/>
      <c r="C67" s="111">
        <f>+C66-C64</f>
        <v>27.700000000000728</v>
      </c>
      <c r="D67" s="111"/>
      <c r="E67" s="111"/>
      <c r="F67" s="17"/>
      <c r="G67" s="35">
        <f>SUM(G65:G66)</f>
        <v>154.03</v>
      </c>
      <c r="H67" s="49">
        <f>+G67/C67</f>
        <v>5.5606498194944391</v>
      </c>
      <c r="I67" s="102" t="s">
        <v>90</v>
      </c>
    </row>
    <row r="68" spans="1:10" ht="15" customHeight="1">
      <c r="A68" s="9"/>
      <c r="B68" s="3">
        <v>45909</v>
      </c>
      <c r="C68" s="4">
        <v>10790.8</v>
      </c>
      <c r="D68" s="4"/>
      <c r="E68" s="4"/>
      <c r="F68" s="5"/>
      <c r="G68" s="10">
        <v>66</v>
      </c>
      <c r="H68" s="49">
        <f>+G68/(C68-C66)</f>
        <v>6.4077669902917149</v>
      </c>
      <c r="I68" s="6" t="s">
        <v>99</v>
      </c>
      <c r="J68" s="37"/>
    </row>
    <row r="69" spans="1:10" ht="15" customHeight="1">
      <c r="A69" s="9"/>
      <c r="B69" s="3">
        <v>45910</v>
      </c>
      <c r="C69" s="4">
        <v>10801.2</v>
      </c>
      <c r="D69" s="4"/>
      <c r="E69" s="4"/>
      <c r="F69" s="5"/>
      <c r="G69" s="10">
        <v>62</v>
      </c>
      <c r="H69" s="49">
        <f t="shared" ref="H69:H74" si="4">+G69/(C69-C68)</f>
        <v>5.9615384615376277</v>
      </c>
      <c r="I69" s="6" t="s">
        <v>99</v>
      </c>
      <c r="J69" s="37"/>
    </row>
    <row r="70" spans="1:10" ht="15" customHeight="1">
      <c r="A70" s="9"/>
      <c r="B70" s="3">
        <v>45911</v>
      </c>
      <c r="C70" s="4">
        <v>10811.5</v>
      </c>
      <c r="D70" s="4"/>
      <c r="E70" s="4"/>
      <c r="F70" s="5"/>
      <c r="G70" s="10">
        <v>69</v>
      </c>
      <c r="H70" s="49">
        <f t="shared" si="4"/>
        <v>6.6990291262140653</v>
      </c>
      <c r="I70" s="6" t="s">
        <v>99</v>
      </c>
      <c r="J70" s="37"/>
    </row>
    <row r="71" spans="1:10" ht="15" customHeight="1">
      <c r="A71" s="9"/>
      <c r="B71" s="3">
        <v>45912</v>
      </c>
      <c r="C71" s="4">
        <v>10822.7</v>
      </c>
      <c r="D71" s="4"/>
      <c r="E71" s="4"/>
      <c r="F71" s="5"/>
      <c r="G71" s="10">
        <v>40</v>
      </c>
      <c r="H71" s="49">
        <f t="shared" si="4"/>
        <v>3.5714285714283394</v>
      </c>
      <c r="I71" s="6" t="s">
        <v>326</v>
      </c>
      <c r="J71" s="37"/>
    </row>
    <row r="72" spans="1:10" ht="15" customHeight="1">
      <c r="A72" s="9"/>
      <c r="B72" s="3">
        <v>45913</v>
      </c>
      <c r="C72" s="4">
        <v>10834</v>
      </c>
      <c r="D72" s="4"/>
      <c r="E72" s="4"/>
      <c r="F72" s="5"/>
      <c r="G72" s="10">
        <v>110</v>
      </c>
      <c r="H72" s="49">
        <f t="shared" si="4"/>
        <v>9.7345132743369103</v>
      </c>
      <c r="I72" s="6" t="s">
        <v>99</v>
      </c>
      <c r="J72" s="37"/>
    </row>
    <row r="73" spans="1:10" ht="15" customHeight="1">
      <c r="A73" s="9"/>
      <c r="B73" s="3">
        <v>45915</v>
      </c>
      <c r="C73" s="4">
        <v>10849.6</v>
      </c>
      <c r="D73" s="4"/>
      <c r="E73" s="4"/>
      <c r="F73" s="5"/>
      <c r="G73" s="10">
        <v>49</v>
      </c>
      <c r="H73" s="49">
        <f t="shared" si="4"/>
        <v>3.1410256410255677</v>
      </c>
      <c r="I73" s="6" t="s">
        <v>326</v>
      </c>
      <c r="J73" s="37"/>
    </row>
    <row r="74" spans="1:10" ht="15" customHeight="1">
      <c r="A74" s="9"/>
      <c r="B74" s="3">
        <v>45916</v>
      </c>
      <c r="C74" s="4">
        <v>10861.4</v>
      </c>
      <c r="D74" s="4"/>
      <c r="E74" s="4"/>
      <c r="F74" s="5"/>
      <c r="G74" s="10">
        <v>66</v>
      </c>
      <c r="H74" s="49">
        <f t="shared" si="4"/>
        <v>5.5932203389833957</v>
      </c>
      <c r="I74" s="6" t="s">
        <v>326</v>
      </c>
      <c r="J74" s="37"/>
    </row>
    <row r="75" spans="1:10" ht="15" customHeight="1">
      <c r="A75" s="9"/>
      <c r="B75" s="3"/>
      <c r="C75" s="4"/>
      <c r="D75" s="4"/>
      <c r="E75" s="4"/>
      <c r="F75" s="5"/>
      <c r="G75" s="10"/>
      <c r="H75" s="11"/>
      <c r="I75" s="6"/>
      <c r="J75" s="21">
        <v>250.34</v>
      </c>
    </row>
    <row r="76" spans="1:10" ht="15" customHeight="1">
      <c r="A76" s="9"/>
      <c r="B76" s="3"/>
      <c r="C76" s="4"/>
      <c r="D76" s="4"/>
      <c r="E76" s="4"/>
      <c r="F76" s="5" t="str">
        <f t="shared" ref="F76" si="5">IF(D76="","",E76-D76)</f>
        <v/>
      </c>
      <c r="G76" s="10"/>
      <c r="H76" s="11" t="str">
        <f t="shared" ref="H76" si="6">IF(G76="","",ROUND(G76/F76,2))</f>
        <v/>
      </c>
      <c r="I76" s="6"/>
      <c r="J76" s="112">
        <v>3.7854117839999999</v>
      </c>
    </row>
    <row r="77" spans="1:10" ht="14.45" customHeight="1">
      <c r="A77" s="146" t="s">
        <v>15</v>
      </c>
      <c r="B77" s="147"/>
      <c r="C77" s="147"/>
      <c r="D77" s="147"/>
      <c r="E77" s="148"/>
      <c r="F77" s="34">
        <f>SUM(F9:F76)</f>
        <v>-10250.1</v>
      </c>
      <c r="G77" s="35">
        <f>SUM(G9:G76)</f>
        <v>4646.96</v>
      </c>
      <c r="H77" s="11">
        <f>IF(G77="","",ROUND(G77/F77,2))</f>
        <v>-0.45</v>
      </c>
      <c r="I77" s="36" t="s">
        <v>16</v>
      </c>
      <c r="J77" s="1">
        <f>+J75/J76</f>
        <v>66.13283158733887</v>
      </c>
    </row>
  </sheetData>
  <mergeCells count="3">
    <mergeCell ref="B2:I2"/>
    <mergeCell ref="A77:E77"/>
    <mergeCell ref="B3:I3"/>
  </mergeCells>
  <phoneticPr fontId="16" type="noConversion"/>
  <pageMargins left="0.70866141732283472" right="0.70866141732283472" top="0.35433070866141736" bottom="0.35433070866141736" header="0.31496062992125984" footer="0.31496062992125984"/>
  <pageSetup paperSize="9" scale="70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L79"/>
  <sheetViews>
    <sheetView showGridLines="0" zoomScale="120" zoomScaleNormal="120" zoomScaleSheetLayoutView="100" workbookViewId="0">
      <selection activeCell="J68" sqref="A2:J68"/>
    </sheetView>
  </sheetViews>
  <sheetFormatPr baseColWidth="10" defaultColWidth="11.5703125" defaultRowHeight="12.75"/>
  <cols>
    <col min="1" max="1" width="12.7109375" style="1" customWidth="1"/>
    <col min="2" max="2" width="11.140625" style="1" customWidth="1"/>
    <col min="3" max="3" width="13.7109375" style="1" customWidth="1"/>
    <col min="4" max="4" width="11.42578125" style="7" hidden="1" customWidth="1"/>
    <col min="5" max="5" width="12" style="7" hidden="1" customWidth="1"/>
    <col min="6" max="6" width="12.140625" style="1" hidden="1" customWidth="1"/>
    <col min="7" max="7" width="13.42578125" style="7" customWidth="1"/>
    <col min="8" max="8" width="11.7109375" style="8" hidden="1" customWidth="1"/>
    <col min="9" max="9" width="10.7109375" style="50" customWidth="1"/>
    <col min="10" max="10" width="39.42578125" style="1" customWidth="1"/>
    <col min="11" max="16384" width="11.5703125" style="1"/>
  </cols>
  <sheetData>
    <row r="2" spans="1:11" ht="32.450000000000003" customHeight="1">
      <c r="B2" s="145" t="s">
        <v>5</v>
      </c>
      <c r="C2" s="145"/>
      <c r="D2" s="145"/>
      <c r="E2" s="145"/>
      <c r="F2" s="145"/>
      <c r="G2" s="145"/>
      <c r="H2" s="145"/>
      <c r="I2" s="145"/>
      <c r="J2" s="145"/>
    </row>
    <row r="3" spans="1:11" ht="25.5" customHeight="1">
      <c r="A3" s="2" t="s">
        <v>11</v>
      </c>
      <c r="B3" s="162" t="s">
        <v>240</v>
      </c>
      <c r="C3" s="162"/>
      <c r="D3" s="162"/>
      <c r="E3" s="162"/>
      <c r="F3" s="162"/>
      <c r="G3" s="162"/>
      <c r="H3" s="162"/>
      <c r="I3" s="162"/>
      <c r="J3" s="162"/>
    </row>
    <row r="4" spans="1:11">
      <c r="A4" s="2" t="s">
        <v>8</v>
      </c>
      <c r="B4" s="1" t="s">
        <v>49</v>
      </c>
      <c r="D4" s="1"/>
      <c r="E4" s="1"/>
      <c r="G4" s="1"/>
      <c r="H4" s="1"/>
      <c r="I4" s="1"/>
    </row>
    <row r="5" spans="1:11">
      <c r="A5" s="2" t="s">
        <v>9</v>
      </c>
      <c r="B5" s="1" t="s">
        <v>17</v>
      </c>
      <c r="D5" s="1"/>
      <c r="E5" s="1"/>
      <c r="G5" s="1"/>
      <c r="H5" s="1"/>
      <c r="I5" s="1"/>
    </row>
    <row r="6" spans="1:11">
      <c r="A6" s="2" t="s">
        <v>10</v>
      </c>
      <c r="B6" s="1" t="s">
        <v>65</v>
      </c>
      <c r="D6" s="1"/>
      <c r="E6" s="1"/>
      <c r="G6" s="1"/>
      <c r="H6" s="1"/>
      <c r="I6" s="1"/>
      <c r="K6" s="1">
        <f>170-90</f>
        <v>80</v>
      </c>
    </row>
    <row r="8" spans="1:11" s="13" customFormat="1" ht="28.5" customHeight="1">
      <c r="A8" s="12" t="s">
        <v>13</v>
      </c>
      <c r="B8" s="12" t="s">
        <v>0</v>
      </c>
      <c r="C8" s="12" t="s">
        <v>14</v>
      </c>
      <c r="D8" s="12" t="s">
        <v>6</v>
      </c>
      <c r="E8" s="12" t="s">
        <v>7</v>
      </c>
      <c r="F8" s="12" t="s">
        <v>3</v>
      </c>
      <c r="G8" s="12" t="s">
        <v>1</v>
      </c>
      <c r="H8" s="12" t="s">
        <v>4</v>
      </c>
      <c r="I8" s="75" t="s">
        <v>37</v>
      </c>
      <c r="J8" s="12" t="s">
        <v>2</v>
      </c>
    </row>
    <row r="9" spans="1:11" s="21" customFormat="1" ht="15" customHeight="1">
      <c r="A9" s="14" t="s">
        <v>182</v>
      </c>
      <c r="B9" s="15">
        <v>45848</v>
      </c>
      <c r="C9" s="16">
        <v>15156</v>
      </c>
      <c r="D9" s="16">
        <v>15156</v>
      </c>
      <c r="E9" s="16">
        <f>+D10</f>
        <v>15161</v>
      </c>
      <c r="F9" s="17">
        <f>IF(D9="","",E9-D9)</f>
        <v>5</v>
      </c>
      <c r="G9" s="18">
        <v>108.70296999999999</v>
      </c>
      <c r="H9" s="19">
        <f>IF(G9="","",ROUND(G9/F9,2))</f>
        <v>21.74</v>
      </c>
      <c r="I9" s="65"/>
      <c r="J9" s="20" t="s">
        <v>68</v>
      </c>
      <c r="K9" s="33"/>
    </row>
    <row r="10" spans="1:11" s="21" customFormat="1" ht="15" customHeight="1">
      <c r="A10" s="14" t="s">
        <v>183</v>
      </c>
      <c r="B10" s="15">
        <v>45849</v>
      </c>
      <c r="C10" s="16"/>
      <c r="D10" s="16">
        <v>15161</v>
      </c>
      <c r="E10" s="16">
        <f>+D11</f>
        <v>15169</v>
      </c>
      <c r="F10" s="17">
        <f>IF(D10="","",E10-D10)</f>
        <v>8</v>
      </c>
      <c r="G10" s="28"/>
      <c r="H10" s="19" t="str">
        <f>IF(G10="","",ROUND(G10/F10,2))</f>
        <v/>
      </c>
      <c r="I10" s="66"/>
      <c r="J10" s="26"/>
    </row>
    <row r="11" spans="1:11" s="32" customFormat="1" ht="15" customHeight="1">
      <c r="A11" s="14" t="s">
        <v>184</v>
      </c>
      <c r="B11" s="15">
        <v>45850</v>
      </c>
      <c r="C11" s="29">
        <v>15169</v>
      </c>
      <c r="D11" s="29">
        <v>15169</v>
      </c>
      <c r="E11" s="29">
        <v>15175</v>
      </c>
      <c r="F11" s="17">
        <f>IF(D11="","",E11-D11)</f>
        <v>6</v>
      </c>
      <c r="G11" s="28">
        <v>90</v>
      </c>
      <c r="H11" s="19"/>
      <c r="I11" s="66"/>
      <c r="J11" s="31" t="s">
        <v>76</v>
      </c>
      <c r="K11" s="32">
        <f>+C11-D11</f>
        <v>0</v>
      </c>
    </row>
    <row r="12" spans="1:11" s="32" customFormat="1" ht="24.75" customHeight="1">
      <c r="A12" s="14" t="s">
        <v>185</v>
      </c>
      <c r="B12" s="15">
        <v>45852</v>
      </c>
      <c r="C12" s="29">
        <v>15180</v>
      </c>
      <c r="D12" s="29">
        <v>15175</v>
      </c>
      <c r="E12" s="29">
        <v>15184</v>
      </c>
      <c r="F12" s="17">
        <f>IF(D12="","",E12-D12)</f>
        <v>9</v>
      </c>
      <c r="G12" s="28">
        <v>90</v>
      </c>
      <c r="H12" s="23"/>
      <c r="I12" s="66"/>
      <c r="J12" s="93" t="s">
        <v>77</v>
      </c>
    </row>
    <row r="13" spans="1:11" s="32" customFormat="1" ht="24.75" customHeight="1">
      <c r="A13" s="14"/>
      <c r="B13" s="15"/>
      <c r="C13" s="103">
        <f>+C12-C9</f>
        <v>24</v>
      </c>
      <c r="D13" s="103"/>
      <c r="E13" s="103"/>
      <c r="F13" s="100"/>
      <c r="G13" s="104">
        <f>+G12+G11</f>
        <v>180</v>
      </c>
      <c r="H13" s="23"/>
      <c r="I13" s="66">
        <f>+G13/C13</f>
        <v>7.5</v>
      </c>
      <c r="J13" s="102" t="s">
        <v>90</v>
      </c>
    </row>
    <row r="14" spans="1:11" s="21" customFormat="1" ht="15" customHeight="1">
      <c r="A14" s="14" t="s">
        <v>186</v>
      </c>
      <c r="B14" s="15">
        <v>45853</v>
      </c>
      <c r="C14" s="29">
        <v>15186</v>
      </c>
      <c r="D14" s="16">
        <f>+E12</f>
        <v>15184</v>
      </c>
      <c r="E14" s="29">
        <v>15193</v>
      </c>
      <c r="F14" s="17">
        <f t="shared" ref="F14:F31" si="0">IF(D14="","",E14-D14)</f>
        <v>9</v>
      </c>
      <c r="G14" s="28">
        <v>114</v>
      </c>
      <c r="H14" s="23"/>
      <c r="I14" s="66"/>
      <c r="J14" s="26" t="s">
        <v>76</v>
      </c>
      <c r="K14" s="107"/>
    </row>
    <row r="15" spans="1:11" s="21" customFormat="1" ht="15" customHeight="1">
      <c r="A15" s="14" t="s">
        <v>187</v>
      </c>
      <c r="B15" s="15">
        <v>45854</v>
      </c>
      <c r="C15" s="16"/>
      <c r="D15" s="16">
        <f t="shared" ref="D15:D20" si="1">+E14</f>
        <v>15193</v>
      </c>
      <c r="E15" s="29">
        <v>15203</v>
      </c>
      <c r="F15" s="17">
        <f t="shared" si="0"/>
        <v>10</v>
      </c>
      <c r="G15" s="18"/>
      <c r="H15" s="23"/>
      <c r="I15" s="66"/>
      <c r="J15" s="26"/>
    </row>
    <row r="16" spans="1:11" s="21" customFormat="1" ht="15" customHeight="1">
      <c r="A16" s="14" t="s">
        <v>188</v>
      </c>
      <c r="B16" s="15">
        <v>45855</v>
      </c>
      <c r="C16" s="29">
        <v>15204</v>
      </c>
      <c r="D16" s="16">
        <f t="shared" si="1"/>
        <v>15203</v>
      </c>
      <c r="E16" s="16">
        <v>15212</v>
      </c>
      <c r="F16" s="17">
        <f t="shared" si="0"/>
        <v>9</v>
      </c>
      <c r="G16" s="18">
        <v>90</v>
      </c>
      <c r="H16" s="23"/>
      <c r="I16" s="66"/>
      <c r="J16" s="26" t="s">
        <v>76</v>
      </c>
    </row>
    <row r="17" spans="1:12" s="21" customFormat="1" ht="15" customHeight="1">
      <c r="A17" s="14" t="s">
        <v>189</v>
      </c>
      <c r="B17" s="15">
        <v>45856</v>
      </c>
      <c r="C17" s="16">
        <v>15214</v>
      </c>
      <c r="D17" s="16">
        <f t="shared" si="1"/>
        <v>15212</v>
      </c>
      <c r="E17" s="16">
        <v>15221</v>
      </c>
      <c r="F17" s="17">
        <f t="shared" si="0"/>
        <v>9</v>
      </c>
      <c r="G17" s="18">
        <v>60.57</v>
      </c>
      <c r="H17" s="19"/>
      <c r="I17" s="66"/>
      <c r="J17" s="26" t="s">
        <v>76</v>
      </c>
    </row>
    <row r="18" spans="1:12" s="21" customFormat="1" ht="15" customHeight="1">
      <c r="A18" s="14" t="s">
        <v>190</v>
      </c>
      <c r="B18" s="15">
        <v>45857</v>
      </c>
      <c r="C18" s="16">
        <v>15223</v>
      </c>
      <c r="D18" s="16">
        <f t="shared" si="1"/>
        <v>15221</v>
      </c>
      <c r="E18" s="16">
        <v>15230</v>
      </c>
      <c r="F18" s="17">
        <f t="shared" si="0"/>
        <v>9</v>
      </c>
      <c r="G18" s="18">
        <v>105</v>
      </c>
      <c r="H18" s="19"/>
      <c r="I18" s="66"/>
      <c r="J18" s="26" t="s">
        <v>76</v>
      </c>
    </row>
    <row r="19" spans="1:12" s="21" customFormat="1" ht="15" customHeight="1">
      <c r="A19" s="14" t="s">
        <v>191</v>
      </c>
      <c r="B19" s="15">
        <v>45858</v>
      </c>
      <c r="C19" s="108"/>
      <c r="D19" s="16">
        <f t="shared" si="1"/>
        <v>15230</v>
      </c>
      <c r="E19" s="16">
        <v>15236</v>
      </c>
      <c r="F19" s="17">
        <f t="shared" si="0"/>
        <v>6</v>
      </c>
      <c r="G19" s="18"/>
      <c r="H19" s="48"/>
      <c r="I19" s="66"/>
      <c r="J19" s="26"/>
      <c r="L19" s="21">
        <f>105+115</f>
        <v>220</v>
      </c>
    </row>
    <row r="20" spans="1:12" s="21" customFormat="1" ht="15" customHeight="1">
      <c r="A20" s="14" t="s">
        <v>192</v>
      </c>
      <c r="B20" s="15">
        <v>45859</v>
      </c>
      <c r="C20" s="16">
        <v>15239</v>
      </c>
      <c r="D20" s="16">
        <f t="shared" si="1"/>
        <v>15236</v>
      </c>
      <c r="E20" s="16">
        <v>15244</v>
      </c>
      <c r="F20" s="17">
        <f t="shared" si="0"/>
        <v>8</v>
      </c>
      <c r="G20" s="18">
        <v>109.81</v>
      </c>
      <c r="H20" s="49"/>
      <c r="I20" s="66"/>
      <c r="J20" s="26" t="s">
        <v>103</v>
      </c>
    </row>
    <row r="21" spans="1:12" ht="15" customHeight="1">
      <c r="A21" s="9"/>
      <c r="B21" s="15"/>
      <c r="C21" s="99">
        <f>+C20-C12</f>
        <v>59</v>
      </c>
      <c r="D21" s="111"/>
      <c r="E21" s="111"/>
      <c r="F21" s="100"/>
      <c r="G21" s="35">
        <f>SUM(G14:H20)</f>
        <v>479.38</v>
      </c>
      <c r="H21" s="49"/>
      <c r="I21" s="66">
        <f>+G21/C21</f>
        <v>8.1250847457627113</v>
      </c>
      <c r="J21" s="102" t="s">
        <v>90</v>
      </c>
    </row>
    <row r="22" spans="1:12" ht="15" customHeight="1">
      <c r="A22" s="9" t="s">
        <v>193</v>
      </c>
      <c r="B22" s="15">
        <v>45860</v>
      </c>
      <c r="C22" s="4">
        <v>15250</v>
      </c>
      <c r="D22" s="4">
        <f>+E20</f>
        <v>15244</v>
      </c>
      <c r="E22" s="4">
        <v>15253</v>
      </c>
      <c r="F22" s="17">
        <f t="shared" si="0"/>
        <v>9</v>
      </c>
      <c r="G22" s="10">
        <v>82.03</v>
      </c>
      <c r="H22" s="49"/>
      <c r="I22" s="66">
        <f>+G22/(C22-C20)</f>
        <v>7.4572727272727271</v>
      </c>
      <c r="J22" s="26" t="s">
        <v>103</v>
      </c>
    </row>
    <row r="23" spans="1:12" ht="15" customHeight="1">
      <c r="A23" s="9" t="s">
        <v>194</v>
      </c>
      <c r="B23" s="15">
        <v>45861</v>
      </c>
      <c r="C23" s="4"/>
      <c r="D23" s="4">
        <f>+E22</f>
        <v>15253</v>
      </c>
      <c r="E23" s="4">
        <v>15260</v>
      </c>
      <c r="F23" s="17">
        <f t="shared" si="0"/>
        <v>7</v>
      </c>
      <c r="G23" s="10"/>
      <c r="H23" s="49"/>
      <c r="I23" s="66"/>
      <c r="J23" s="6" t="s">
        <v>104</v>
      </c>
    </row>
    <row r="24" spans="1:12" ht="15" customHeight="1">
      <c r="A24" s="9" t="s">
        <v>236</v>
      </c>
      <c r="B24" s="15">
        <v>45862</v>
      </c>
      <c r="C24" s="4">
        <v>15260</v>
      </c>
      <c r="D24" s="4">
        <f>+E23</f>
        <v>15260</v>
      </c>
      <c r="E24" s="4">
        <v>15270</v>
      </c>
      <c r="F24" s="17">
        <f t="shared" si="0"/>
        <v>10</v>
      </c>
      <c r="G24" s="10">
        <v>108.35</v>
      </c>
      <c r="H24" s="49"/>
      <c r="I24" s="66"/>
      <c r="J24" s="6" t="s">
        <v>195</v>
      </c>
    </row>
    <row r="25" spans="1:12" ht="15" customHeight="1">
      <c r="A25" s="9" t="s">
        <v>235</v>
      </c>
      <c r="B25" s="15">
        <v>45863</v>
      </c>
      <c r="C25" s="4">
        <v>15275</v>
      </c>
      <c r="D25" s="4">
        <f>+E24</f>
        <v>15270</v>
      </c>
      <c r="E25" s="4">
        <v>15280</v>
      </c>
      <c r="F25" s="17">
        <f t="shared" si="0"/>
        <v>10</v>
      </c>
      <c r="G25" s="10">
        <v>123.83</v>
      </c>
      <c r="H25" s="49"/>
      <c r="I25" s="66"/>
      <c r="J25" s="6"/>
    </row>
    <row r="26" spans="1:12" ht="15" customHeight="1">
      <c r="A26" s="9" t="s">
        <v>234</v>
      </c>
      <c r="B26" s="15">
        <v>45864</v>
      </c>
      <c r="C26" s="4"/>
      <c r="D26" s="4">
        <f>+E25</f>
        <v>15280</v>
      </c>
      <c r="E26" s="4">
        <v>15286</v>
      </c>
      <c r="F26" s="17">
        <f t="shared" si="0"/>
        <v>6</v>
      </c>
      <c r="G26" s="10"/>
      <c r="H26" s="11"/>
      <c r="I26" s="66"/>
      <c r="J26" s="6"/>
    </row>
    <row r="27" spans="1:12" ht="15" customHeight="1">
      <c r="A27" s="9" t="s">
        <v>233</v>
      </c>
      <c r="B27" s="15">
        <v>45868</v>
      </c>
      <c r="C27" s="4">
        <v>15288</v>
      </c>
      <c r="D27" s="4">
        <f>+E26</f>
        <v>15286</v>
      </c>
      <c r="E27" s="4">
        <v>15293</v>
      </c>
      <c r="F27" s="17">
        <f t="shared" si="0"/>
        <v>7</v>
      </c>
      <c r="G27" s="10">
        <v>106.5</v>
      </c>
      <c r="H27" s="11"/>
      <c r="I27" s="66"/>
      <c r="J27" s="26" t="s">
        <v>103</v>
      </c>
    </row>
    <row r="28" spans="1:12" ht="15" customHeight="1">
      <c r="A28" s="9"/>
      <c r="B28" s="15"/>
      <c r="C28" s="111">
        <f>+C27-C22</f>
        <v>38</v>
      </c>
      <c r="D28" s="111"/>
      <c r="E28" s="111"/>
      <c r="F28" s="17" t="str">
        <f t="shared" si="0"/>
        <v/>
      </c>
      <c r="G28" s="35">
        <f>+G27+G25+G24</f>
        <v>338.67999999999995</v>
      </c>
      <c r="H28" s="11"/>
      <c r="I28" s="66">
        <f>+G28/C28</f>
        <v>8.9126315789473676</v>
      </c>
      <c r="J28" s="102" t="s">
        <v>90</v>
      </c>
    </row>
    <row r="29" spans="1:12" ht="15" customHeight="1">
      <c r="A29" s="9" t="s">
        <v>232</v>
      </c>
      <c r="B29" s="3">
        <v>45869</v>
      </c>
      <c r="C29" s="4"/>
      <c r="D29" s="4">
        <f>+E27</f>
        <v>15293</v>
      </c>
      <c r="E29" s="4">
        <v>15303</v>
      </c>
      <c r="F29" s="17">
        <f t="shared" si="0"/>
        <v>10</v>
      </c>
      <c r="G29" s="10"/>
      <c r="H29" s="11"/>
      <c r="I29" s="66"/>
      <c r="J29" s="6"/>
    </row>
    <row r="30" spans="1:12" ht="15" customHeight="1">
      <c r="A30" s="9"/>
      <c r="B30" s="3">
        <v>45870</v>
      </c>
      <c r="C30" s="4"/>
      <c r="D30" s="4">
        <f>+E29</f>
        <v>15303</v>
      </c>
      <c r="E30" s="4">
        <f>+D30</f>
        <v>15303</v>
      </c>
      <c r="F30" s="17">
        <f t="shared" si="0"/>
        <v>0</v>
      </c>
      <c r="G30" s="10"/>
      <c r="H30" s="11"/>
      <c r="I30" s="66"/>
      <c r="J30" s="6"/>
    </row>
    <row r="31" spans="1:12" ht="15" customHeight="1">
      <c r="A31" s="9" t="s">
        <v>243</v>
      </c>
      <c r="B31" s="3">
        <v>45871</v>
      </c>
      <c r="C31" s="4">
        <v>15303</v>
      </c>
      <c r="D31" s="4">
        <f>+E29</f>
        <v>15303</v>
      </c>
      <c r="E31" s="4">
        <v>15309</v>
      </c>
      <c r="F31" s="17">
        <f t="shared" si="0"/>
        <v>6</v>
      </c>
      <c r="G31" s="10">
        <v>65</v>
      </c>
      <c r="H31" s="11"/>
      <c r="I31" s="66"/>
      <c r="J31" s="6" t="s">
        <v>196</v>
      </c>
    </row>
    <row r="32" spans="1:12" ht="15" customHeight="1">
      <c r="A32" s="9"/>
      <c r="B32" s="3">
        <v>45872</v>
      </c>
      <c r="C32" s="4"/>
      <c r="D32" s="4"/>
      <c r="E32" s="4"/>
      <c r="F32" s="5"/>
      <c r="G32" s="10"/>
      <c r="H32" s="11"/>
      <c r="I32" s="66"/>
      <c r="J32" s="6"/>
    </row>
    <row r="33" spans="1:10" ht="15" customHeight="1">
      <c r="A33" s="9"/>
      <c r="B33" s="3">
        <v>45883</v>
      </c>
      <c r="C33" s="4">
        <v>15377</v>
      </c>
      <c r="D33" s="4"/>
      <c r="E33" s="4"/>
      <c r="F33" s="5"/>
      <c r="G33" s="10">
        <v>85</v>
      </c>
      <c r="H33" s="11"/>
      <c r="I33" s="66"/>
      <c r="J33" s="6" t="s">
        <v>196</v>
      </c>
    </row>
    <row r="34" spans="1:10" ht="15" customHeight="1">
      <c r="A34" s="9"/>
      <c r="B34" s="3">
        <v>45884</v>
      </c>
      <c r="C34" s="4">
        <v>15391</v>
      </c>
      <c r="D34" s="4"/>
      <c r="E34" s="4"/>
      <c r="F34" s="5"/>
      <c r="G34" s="10">
        <v>109.72</v>
      </c>
      <c r="H34" s="11"/>
      <c r="I34" s="66"/>
      <c r="J34" s="6" t="s">
        <v>196</v>
      </c>
    </row>
    <row r="35" spans="1:10" ht="15" customHeight="1">
      <c r="A35" s="9"/>
      <c r="B35" s="3">
        <v>45885</v>
      </c>
      <c r="C35" s="4">
        <v>15408</v>
      </c>
      <c r="D35" s="4"/>
      <c r="E35" s="4"/>
      <c r="F35" s="5"/>
      <c r="G35" s="10">
        <v>30</v>
      </c>
      <c r="H35" s="11"/>
      <c r="I35" s="66"/>
      <c r="J35" s="136" t="s">
        <v>196</v>
      </c>
    </row>
    <row r="36" spans="1:10" ht="15" customHeight="1">
      <c r="A36" s="9"/>
      <c r="B36" s="3">
        <v>45887</v>
      </c>
      <c r="C36" s="4">
        <v>15409</v>
      </c>
      <c r="D36" s="4"/>
      <c r="E36" s="4"/>
      <c r="F36" s="5"/>
      <c r="G36" s="10">
        <v>87.13</v>
      </c>
      <c r="H36" s="11"/>
      <c r="I36" s="66"/>
      <c r="J36" s="136" t="s">
        <v>196</v>
      </c>
    </row>
    <row r="37" spans="1:10" ht="15" customHeight="1">
      <c r="A37" s="9"/>
      <c r="B37" s="3">
        <v>45888</v>
      </c>
      <c r="C37" s="4">
        <v>15416</v>
      </c>
      <c r="D37" s="4"/>
      <c r="E37" s="4"/>
      <c r="F37" s="5"/>
      <c r="G37" s="10">
        <v>92.63</v>
      </c>
      <c r="H37" s="11"/>
      <c r="I37" s="66"/>
      <c r="J37" s="6" t="s">
        <v>196</v>
      </c>
    </row>
    <row r="38" spans="1:10" ht="15" customHeight="1">
      <c r="A38" s="9"/>
      <c r="B38" s="3">
        <v>45889</v>
      </c>
      <c r="C38" s="4">
        <v>15429</v>
      </c>
      <c r="D38" s="4"/>
      <c r="E38" s="4"/>
      <c r="F38" s="5"/>
      <c r="G38" s="10">
        <v>121.83</v>
      </c>
      <c r="H38" s="11"/>
      <c r="I38" s="66"/>
      <c r="J38" s="6" t="s">
        <v>196</v>
      </c>
    </row>
    <row r="39" spans="1:10" ht="15" customHeight="1">
      <c r="A39" s="9"/>
      <c r="B39" s="3">
        <v>45890</v>
      </c>
      <c r="C39" s="4">
        <v>15434</v>
      </c>
      <c r="D39" s="4"/>
      <c r="E39" s="4"/>
      <c r="F39" s="5"/>
      <c r="G39" s="10">
        <v>51.47</v>
      </c>
      <c r="H39" s="11"/>
      <c r="I39" s="66"/>
      <c r="J39" s="6"/>
    </row>
    <row r="40" spans="1:10" ht="15" customHeight="1">
      <c r="A40" s="9"/>
      <c r="B40" s="3">
        <v>45891</v>
      </c>
      <c r="C40" s="4">
        <v>15445</v>
      </c>
      <c r="D40" s="4"/>
      <c r="E40" s="4"/>
      <c r="F40" s="5"/>
      <c r="G40" s="10">
        <v>77</v>
      </c>
      <c r="H40" s="11"/>
      <c r="I40" s="66"/>
      <c r="J40" s="6"/>
    </row>
    <row r="41" spans="1:10" ht="15" customHeight="1">
      <c r="A41" s="9"/>
      <c r="B41" s="3">
        <v>45892</v>
      </c>
      <c r="C41" s="4">
        <v>15455</v>
      </c>
      <c r="D41" s="4"/>
      <c r="E41" s="4"/>
      <c r="F41" s="5"/>
      <c r="G41" s="10">
        <v>92.27</v>
      </c>
      <c r="H41" s="11"/>
      <c r="I41" s="66"/>
      <c r="J41" s="6"/>
    </row>
    <row r="42" spans="1:10" ht="15" customHeight="1">
      <c r="A42" s="9"/>
      <c r="B42" s="3">
        <v>45894</v>
      </c>
      <c r="C42" s="4">
        <v>15459</v>
      </c>
      <c r="D42" s="4"/>
      <c r="E42" s="4"/>
      <c r="F42" s="5"/>
      <c r="G42" s="10">
        <v>61.23</v>
      </c>
      <c r="H42" s="11"/>
      <c r="I42" s="66"/>
      <c r="J42" s="6" t="s">
        <v>99</v>
      </c>
    </row>
    <row r="43" spans="1:10" ht="15" customHeight="1">
      <c r="A43" s="9"/>
      <c r="B43" s="3">
        <v>45895</v>
      </c>
      <c r="C43" s="4">
        <v>15462</v>
      </c>
      <c r="D43" s="4"/>
      <c r="E43" s="4"/>
      <c r="F43" s="5"/>
      <c r="G43" s="10">
        <v>35.5</v>
      </c>
      <c r="H43" s="11"/>
      <c r="I43" s="66">
        <f>+G43/(C43-C42)</f>
        <v>11.833333333333334</v>
      </c>
      <c r="J43" s="6" t="s">
        <v>99</v>
      </c>
    </row>
    <row r="44" spans="1:10" ht="15" customHeight="1">
      <c r="A44" s="9"/>
      <c r="B44" s="3"/>
      <c r="C44" s="111">
        <f>+C43-C27</f>
        <v>174</v>
      </c>
      <c r="D44" s="111"/>
      <c r="E44" s="111"/>
      <c r="F44" s="121"/>
      <c r="G44" s="35">
        <f>SUM(G29:G43)</f>
        <v>908.78000000000009</v>
      </c>
      <c r="H44" s="11"/>
      <c r="I44" s="66">
        <f>+G44/C44</f>
        <v>5.2228735632183909</v>
      </c>
      <c r="J44" s="102" t="s">
        <v>90</v>
      </c>
    </row>
    <row r="45" spans="1:10" ht="15" customHeight="1">
      <c r="A45" s="9"/>
      <c r="B45" s="3">
        <v>45896</v>
      </c>
      <c r="C45" s="4">
        <v>15472</v>
      </c>
      <c r="D45" s="4"/>
      <c r="E45" s="4"/>
      <c r="F45" s="5"/>
      <c r="G45" s="10">
        <v>74</v>
      </c>
      <c r="H45" s="11"/>
      <c r="I45" s="66">
        <f>+G45/(C45-C43)</f>
        <v>7.4</v>
      </c>
      <c r="J45" s="6" t="s">
        <v>99</v>
      </c>
    </row>
    <row r="46" spans="1:10" ht="15" customHeight="1">
      <c r="A46" s="9"/>
      <c r="B46" s="3">
        <v>45897</v>
      </c>
      <c r="C46" s="4">
        <v>15483</v>
      </c>
      <c r="D46" s="4"/>
      <c r="E46" s="4"/>
      <c r="F46" s="5"/>
      <c r="G46" s="10">
        <v>94.47</v>
      </c>
      <c r="H46" s="11"/>
      <c r="I46" s="66">
        <f>+G46/(C46-C45)</f>
        <v>8.5881818181818179</v>
      </c>
      <c r="J46" s="6" t="s">
        <v>99</v>
      </c>
    </row>
    <row r="47" spans="1:10" ht="15" customHeight="1">
      <c r="A47" s="9"/>
      <c r="B47" s="3">
        <v>45898</v>
      </c>
      <c r="C47" s="4">
        <v>15492</v>
      </c>
      <c r="D47" s="4"/>
      <c r="E47" s="4"/>
      <c r="F47" s="5"/>
      <c r="G47" s="10">
        <v>70.45</v>
      </c>
      <c r="H47" s="11"/>
      <c r="I47" s="66">
        <f>+G47/(C47-C46)</f>
        <v>7.8277777777777784</v>
      </c>
      <c r="J47" s="6" t="s">
        <v>99</v>
      </c>
    </row>
    <row r="48" spans="1:10" ht="15" customHeight="1">
      <c r="A48" s="9"/>
      <c r="B48" s="3">
        <v>45899</v>
      </c>
      <c r="C48" s="4">
        <v>15503</v>
      </c>
      <c r="D48" s="4"/>
      <c r="E48" s="4"/>
      <c r="F48" s="5"/>
      <c r="G48" s="10">
        <v>99.06</v>
      </c>
      <c r="H48" s="11"/>
      <c r="I48" s="66">
        <f>+G48/(C48-C47)</f>
        <v>9.0054545454545458</v>
      </c>
      <c r="J48" s="6" t="s">
        <v>99</v>
      </c>
    </row>
    <row r="49" spans="1:12" ht="15" customHeight="1">
      <c r="A49" s="9"/>
      <c r="B49" s="3">
        <v>45900</v>
      </c>
      <c r="C49" s="4">
        <v>15513</v>
      </c>
      <c r="D49" s="4"/>
      <c r="E49" s="4"/>
      <c r="F49" s="5"/>
      <c r="G49" s="10">
        <v>87.4</v>
      </c>
      <c r="H49" s="11"/>
      <c r="I49" s="66">
        <f>+G49/(C49-C48)</f>
        <v>8.74</v>
      </c>
      <c r="J49" s="6" t="s">
        <v>99</v>
      </c>
    </row>
    <row r="50" spans="1:12" ht="15" customHeight="1">
      <c r="A50" s="9"/>
      <c r="B50" s="3">
        <v>45901</v>
      </c>
      <c r="C50" s="4">
        <v>15521</v>
      </c>
      <c r="D50" s="4"/>
      <c r="E50" s="4"/>
      <c r="F50" s="5"/>
      <c r="G50" s="10">
        <v>73.599999999999994</v>
      </c>
      <c r="H50" s="11"/>
      <c r="I50" s="66">
        <f>+G50/(C50-C49)</f>
        <v>9.1999999999999993</v>
      </c>
      <c r="J50" s="6" t="s">
        <v>99</v>
      </c>
    </row>
    <row r="51" spans="1:12" ht="15" customHeight="1">
      <c r="A51" s="9"/>
      <c r="B51" s="3">
        <v>45902</v>
      </c>
      <c r="C51" s="4">
        <v>15521</v>
      </c>
      <c r="D51" s="4"/>
      <c r="E51" s="4"/>
      <c r="F51" s="5"/>
      <c r="G51" s="10">
        <v>-150</v>
      </c>
      <c r="H51" s="11"/>
      <c r="I51" s="66"/>
      <c r="J51" s="6" t="s">
        <v>323</v>
      </c>
    </row>
    <row r="52" spans="1:12" ht="15" customHeight="1">
      <c r="A52" s="9"/>
      <c r="B52" s="3">
        <v>45902</v>
      </c>
      <c r="C52" s="4">
        <v>15521</v>
      </c>
      <c r="D52" s="4"/>
      <c r="E52" s="4"/>
      <c r="F52" s="5"/>
      <c r="G52" s="10">
        <v>48</v>
      </c>
      <c r="H52" s="11"/>
      <c r="I52" s="66"/>
      <c r="J52" s="6" t="s">
        <v>255</v>
      </c>
    </row>
    <row r="53" spans="1:12" ht="15" customHeight="1">
      <c r="A53" s="9"/>
      <c r="B53" s="3">
        <v>45903</v>
      </c>
      <c r="C53" s="4">
        <v>15527</v>
      </c>
      <c r="D53" s="4"/>
      <c r="E53" s="4"/>
      <c r="F53" s="5"/>
      <c r="G53" s="10">
        <v>103</v>
      </c>
      <c r="H53" s="11"/>
      <c r="I53" s="66"/>
      <c r="J53" s="6" t="s">
        <v>99</v>
      </c>
    </row>
    <row r="54" spans="1:12" ht="15" customHeight="1">
      <c r="A54" s="9"/>
      <c r="B54" s="3">
        <v>45904</v>
      </c>
      <c r="C54" s="4">
        <v>15541</v>
      </c>
      <c r="D54" s="4"/>
      <c r="E54" s="4"/>
      <c r="F54" s="5"/>
      <c r="G54" s="10">
        <v>113.21</v>
      </c>
      <c r="H54" s="11"/>
      <c r="I54" s="66">
        <f>+G54/(C54-C53)</f>
        <v>8.0864285714285717</v>
      </c>
      <c r="J54" s="6" t="s">
        <v>99</v>
      </c>
    </row>
    <row r="55" spans="1:12" ht="15" customHeight="1">
      <c r="A55" s="9"/>
      <c r="B55" s="3"/>
      <c r="C55" s="111">
        <f>+C54-C50</f>
        <v>20</v>
      </c>
      <c r="D55" s="111"/>
      <c r="E55" s="111"/>
      <c r="F55" s="121"/>
      <c r="G55" s="35">
        <f>SUM(G51:G54)</f>
        <v>114.21</v>
      </c>
      <c r="H55" s="11"/>
      <c r="I55" s="66">
        <f>+G55/C55</f>
        <v>5.7104999999999997</v>
      </c>
      <c r="J55" s="102" t="s">
        <v>90</v>
      </c>
    </row>
    <row r="56" spans="1:12" ht="15" customHeight="1">
      <c r="A56" s="9"/>
      <c r="B56" s="3">
        <v>45905</v>
      </c>
      <c r="C56" s="4">
        <v>15548</v>
      </c>
      <c r="D56" s="4"/>
      <c r="E56" s="4"/>
      <c r="F56" s="5"/>
      <c r="G56" s="10">
        <v>68.108800000000002</v>
      </c>
      <c r="H56" s="11"/>
      <c r="I56" s="66">
        <f>+G56/(C56-C54)</f>
        <v>9.7298285714285715</v>
      </c>
      <c r="J56" s="6" t="s">
        <v>99</v>
      </c>
    </row>
    <row r="57" spans="1:12" ht="15" customHeight="1">
      <c r="A57" s="9"/>
      <c r="B57" s="3">
        <v>45906</v>
      </c>
      <c r="C57" s="4">
        <v>15562</v>
      </c>
      <c r="D57" s="4"/>
      <c r="E57" s="4"/>
      <c r="F57" s="5"/>
      <c r="G57" s="10">
        <v>94.3</v>
      </c>
      <c r="H57" s="11"/>
      <c r="I57" s="66"/>
      <c r="J57" s="6" t="s">
        <v>196</v>
      </c>
    </row>
    <row r="58" spans="1:12" ht="15" customHeight="1">
      <c r="A58" s="9"/>
      <c r="B58" s="3">
        <v>45907</v>
      </c>
      <c r="C58" s="4">
        <v>15568</v>
      </c>
      <c r="D58" s="4"/>
      <c r="E58" s="4"/>
      <c r="F58" s="5"/>
      <c r="G58" s="10">
        <v>79</v>
      </c>
      <c r="H58" s="11"/>
      <c r="I58" s="66"/>
      <c r="J58" s="6" t="s">
        <v>99</v>
      </c>
    </row>
    <row r="59" spans="1:12" ht="15" customHeight="1">
      <c r="A59" s="9"/>
      <c r="B59" s="3"/>
      <c r="C59" s="111">
        <f>+C58-C56</f>
        <v>20</v>
      </c>
      <c r="D59" s="111"/>
      <c r="E59" s="111"/>
      <c r="F59" s="121"/>
      <c r="G59" s="35">
        <f>SUM(G57:G58)</f>
        <v>173.3</v>
      </c>
      <c r="H59" s="11"/>
      <c r="I59" s="66">
        <f>+G59/C59</f>
        <v>8.6650000000000009</v>
      </c>
      <c r="J59" s="102" t="s">
        <v>90</v>
      </c>
    </row>
    <row r="60" spans="1:12" ht="15" customHeight="1">
      <c r="A60" s="9"/>
      <c r="B60" s="3">
        <v>45909</v>
      </c>
      <c r="C60" s="4">
        <v>15579</v>
      </c>
      <c r="D60" s="111"/>
      <c r="E60" s="111"/>
      <c r="F60" s="121"/>
      <c r="G60" s="10">
        <v>93</v>
      </c>
      <c r="H60" s="11"/>
      <c r="I60" s="66">
        <f>+G60/(C60-C58)</f>
        <v>8.454545454545455</v>
      </c>
      <c r="J60" s="6" t="s">
        <v>99</v>
      </c>
    </row>
    <row r="61" spans="1:12" ht="15" customHeight="1">
      <c r="A61" s="9"/>
      <c r="B61" s="3">
        <v>45910</v>
      </c>
      <c r="C61" s="4">
        <v>15590</v>
      </c>
      <c r="D61" s="4"/>
      <c r="E61" s="4"/>
      <c r="F61" s="5"/>
      <c r="G61" s="10">
        <v>108</v>
      </c>
      <c r="H61" s="141"/>
      <c r="I61" s="66">
        <f t="shared" ref="I61:I66" si="2">+G61/(C61-C60)</f>
        <v>9.8181818181818183</v>
      </c>
      <c r="J61" s="6" t="s">
        <v>99</v>
      </c>
    </row>
    <row r="62" spans="1:12" ht="15" customHeight="1">
      <c r="A62" s="9"/>
      <c r="B62" s="3">
        <v>45911</v>
      </c>
      <c r="C62" s="4">
        <v>15601</v>
      </c>
      <c r="D62" s="4"/>
      <c r="E62" s="4"/>
      <c r="F62" s="5"/>
      <c r="G62" s="10">
        <v>89</v>
      </c>
      <c r="H62" s="141"/>
      <c r="I62" s="66">
        <f t="shared" si="2"/>
        <v>8.0909090909090917</v>
      </c>
      <c r="J62" s="6" t="s">
        <v>99</v>
      </c>
    </row>
    <row r="63" spans="1:12" ht="15" customHeight="1">
      <c r="A63" s="9"/>
      <c r="B63" s="3">
        <v>45912</v>
      </c>
      <c r="C63" s="4">
        <v>15610</v>
      </c>
      <c r="D63" s="4"/>
      <c r="E63" s="4"/>
      <c r="F63" s="5"/>
      <c r="G63" s="10">
        <v>66</v>
      </c>
      <c r="H63" s="141"/>
      <c r="I63" s="66">
        <f t="shared" si="2"/>
        <v>7.333333333333333</v>
      </c>
      <c r="J63" s="6" t="s">
        <v>99</v>
      </c>
      <c r="K63" s="1">
        <v>250.34</v>
      </c>
    </row>
    <row r="64" spans="1:12" ht="15" customHeight="1">
      <c r="A64" s="9"/>
      <c r="B64" s="3">
        <v>45913</v>
      </c>
      <c r="C64" s="4">
        <v>15621</v>
      </c>
      <c r="D64" s="4"/>
      <c r="E64" s="4"/>
      <c r="F64" s="5"/>
      <c r="G64" s="10">
        <v>76</v>
      </c>
      <c r="H64" s="141"/>
      <c r="I64" s="66">
        <f t="shared" si="2"/>
        <v>6.9090909090909092</v>
      </c>
      <c r="J64" s="6" t="s">
        <v>99</v>
      </c>
      <c r="K64" s="112">
        <v>3.7854117839999999</v>
      </c>
      <c r="L64" s="1" t="s">
        <v>125</v>
      </c>
    </row>
    <row r="65" spans="1:11" ht="15" customHeight="1">
      <c r="A65" s="9"/>
      <c r="B65" s="3">
        <v>45915</v>
      </c>
      <c r="C65" s="4">
        <v>15636</v>
      </c>
      <c r="D65" s="4"/>
      <c r="E65" s="4"/>
      <c r="F65" s="5"/>
      <c r="G65" s="10">
        <v>114</v>
      </c>
      <c r="H65" s="141"/>
      <c r="I65" s="66">
        <f t="shared" si="2"/>
        <v>7.6</v>
      </c>
      <c r="J65" s="6" t="s">
        <v>99</v>
      </c>
      <c r="K65" s="1">
        <f>+K63/K64</f>
        <v>66.13283158733887</v>
      </c>
    </row>
    <row r="66" spans="1:11" ht="15" customHeight="1">
      <c r="A66" s="9"/>
      <c r="B66" s="3">
        <v>45916</v>
      </c>
      <c r="C66" s="4">
        <v>15648</v>
      </c>
      <c r="D66" s="4"/>
      <c r="E66" s="4"/>
      <c r="F66" s="5"/>
      <c r="G66" s="10">
        <v>66</v>
      </c>
      <c r="H66" s="141"/>
      <c r="I66" s="66">
        <f t="shared" si="2"/>
        <v>5.5</v>
      </c>
      <c r="J66" s="6" t="s">
        <v>196</v>
      </c>
    </row>
    <row r="67" spans="1:11" ht="15" customHeight="1">
      <c r="A67" s="9"/>
      <c r="B67" s="3"/>
      <c r="C67" s="111"/>
      <c r="D67" s="111"/>
      <c r="E67" s="111"/>
      <c r="F67" s="121"/>
      <c r="G67" s="35"/>
      <c r="H67" s="11"/>
      <c r="I67" s="66"/>
      <c r="J67" s="102"/>
    </row>
    <row r="68" spans="1:11" ht="15" customHeight="1">
      <c r="A68" s="9"/>
      <c r="B68" s="3"/>
      <c r="C68" s="4"/>
      <c r="D68" s="4"/>
      <c r="E68" s="4"/>
      <c r="F68" s="5" t="str">
        <f t="shared" ref="F68" si="3">IF(D68="","",E68-D68)</f>
        <v/>
      </c>
      <c r="G68" s="10"/>
      <c r="H68" s="11" t="str">
        <f>IF(G68="","",ROUND(G68/F68,2))</f>
        <v/>
      </c>
      <c r="I68" s="66"/>
      <c r="J68" s="6"/>
    </row>
    <row r="69" spans="1:11" ht="14.45" customHeight="1">
      <c r="A69" s="146" t="s">
        <v>15</v>
      </c>
      <c r="B69" s="147"/>
      <c r="C69" s="147"/>
      <c r="D69" s="147"/>
      <c r="E69" s="148"/>
      <c r="F69" s="34">
        <f>SUM(F9:F68)</f>
        <v>153</v>
      </c>
      <c r="G69" s="35">
        <f>SUM(G9:G68)</f>
        <v>5758.5217700000003</v>
      </c>
      <c r="H69" s="11">
        <f>IF(G69="","",ROUND(G69/F69,2))</f>
        <v>37.64</v>
      </c>
      <c r="I69" s="11"/>
      <c r="J69" s="36" t="s">
        <v>16</v>
      </c>
    </row>
    <row r="71" spans="1:11" hidden="1">
      <c r="A71" s="149" t="s">
        <v>42</v>
      </c>
      <c r="B71" s="149"/>
      <c r="C71" s="149"/>
      <c r="D71" s="149"/>
      <c r="E71" s="149"/>
      <c r="H71" s="54"/>
      <c r="I71" s="54"/>
    </row>
    <row r="72" spans="1:11" ht="6" hidden="1" customHeight="1">
      <c r="A72" s="55"/>
      <c r="B72" s="55"/>
      <c r="C72" s="55"/>
      <c r="D72" s="55"/>
      <c r="H72" s="54"/>
      <c r="I72" s="54"/>
    </row>
    <row r="73" spans="1:11" ht="13.5" hidden="1">
      <c r="A73" s="56" t="s">
        <v>0</v>
      </c>
      <c r="B73" s="150">
        <v>45478</v>
      </c>
      <c r="C73" s="150"/>
      <c r="D73" s="151"/>
      <c r="H73" s="54"/>
      <c r="I73" s="54"/>
    </row>
    <row r="74" spans="1:11" ht="13.5" hidden="1">
      <c r="A74" s="56" t="s">
        <v>41</v>
      </c>
      <c r="B74" s="56" t="str">
        <f>+B5</f>
        <v>GERARDO CASTILLO SANCHEZ</v>
      </c>
      <c r="C74" s="56"/>
      <c r="D74" s="151"/>
    </row>
    <row r="75" spans="1:11" ht="13.5" hidden="1">
      <c r="A75" s="56" t="s">
        <v>8</v>
      </c>
      <c r="B75" s="56" t="s">
        <v>38</v>
      </c>
      <c r="C75" s="56"/>
      <c r="D75" s="57"/>
    </row>
    <row r="76" spans="1:11" ht="19.5" hidden="1" customHeight="1">
      <c r="A76" s="152" t="s">
        <v>45</v>
      </c>
      <c r="B76" s="152"/>
      <c r="C76" s="153" t="s">
        <v>43</v>
      </c>
      <c r="D76" s="155" t="s">
        <v>44</v>
      </c>
      <c r="E76" s="155" t="s">
        <v>48</v>
      </c>
    </row>
    <row r="77" spans="1:11" ht="13.5" hidden="1" customHeight="1">
      <c r="A77" s="58" t="s">
        <v>46</v>
      </c>
      <c r="B77" s="58" t="s">
        <v>47</v>
      </c>
      <c r="C77" s="154"/>
      <c r="D77" s="156"/>
      <c r="E77" s="156"/>
      <c r="H77" s="54"/>
      <c r="I77" s="54"/>
    </row>
    <row r="78" spans="1:11" ht="15" hidden="1" customHeight="1">
      <c r="A78" s="157">
        <f>+C31</f>
        <v>15303</v>
      </c>
      <c r="B78" s="157">
        <f>+C30</f>
        <v>0</v>
      </c>
      <c r="C78" s="159">
        <f>+A78-B78</f>
        <v>15303</v>
      </c>
      <c r="D78" s="163">
        <f>+E78/C78</f>
        <v>4.247533163432007E-3</v>
      </c>
      <c r="E78" s="161">
        <f>+G31</f>
        <v>65</v>
      </c>
    </row>
    <row r="79" spans="1:11" hidden="1">
      <c r="A79" s="158"/>
      <c r="B79" s="158"/>
      <c r="C79" s="160"/>
      <c r="D79" s="164"/>
      <c r="E79" s="160"/>
    </row>
  </sheetData>
  <mergeCells count="15">
    <mergeCell ref="B2:J2"/>
    <mergeCell ref="A69:E69"/>
    <mergeCell ref="B73:C73"/>
    <mergeCell ref="D73:D74"/>
    <mergeCell ref="E76:E77"/>
    <mergeCell ref="C76:C77"/>
    <mergeCell ref="D76:D77"/>
    <mergeCell ref="B3:J3"/>
    <mergeCell ref="E78:E79"/>
    <mergeCell ref="A71:E71"/>
    <mergeCell ref="C78:C79"/>
    <mergeCell ref="D78:D79"/>
    <mergeCell ref="A76:B76"/>
    <mergeCell ref="A78:A79"/>
    <mergeCell ref="B78:B79"/>
  </mergeCells>
  <phoneticPr fontId="20" type="noConversion"/>
  <pageMargins left="0.70866141732283472" right="0.31496062992125984" top="0.74803149606299213" bottom="0.74803149606299213" header="0.11811023622047245" footer="0.31496062992125984"/>
  <pageSetup paperSize="9" scale="80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K99"/>
  <sheetViews>
    <sheetView showGridLines="0" topLeftCell="A61" zoomScale="115" zoomScaleNormal="115" zoomScaleSheetLayoutView="100" workbookViewId="0">
      <selection activeCell="G13" sqref="G13"/>
    </sheetView>
  </sheetViews>
  <sheetFormatPr baseColWidth="10" defaultColWidth="11.5703125" defaultRowHeight="12.75"/>
  <cols>
    <col min="1" max="1" width="13.7109375" style="1" customWidth="1"/>
    <col min="2" max="2" width="10.42578125" style="1" customWidth="1"/>
    <col min="3" max="3" width="13.7109375" style="1" customWidth="1"/>
    <col min="4" max="4" width="11.42578125" style="7" hidden="1" customWidth="1"/>
    <col min="5" max="5" width="12" style="7" hidden="1" customWidth="1"/>
    <col min="6" max="6" width="12.140625" style="1" hidden="1" customWidth="1"/>
    <col min="7" max="7" width="13" style="7" customWidth="1"/>
    <col min="8" max="8" width="11.28515625" style="50" customWidth="1"/>
    <col min="9" max="9" width="42.7109375" style="1" customWidth="1"/>
    <col min="10" max="16384" width="11.5703125" style="1"/>
  </cols>
  <sheetData>
    <row r="2" spans="1:10" ht="24" customHeight="1">
      <c r="B2" s="145" t="s">
        <v>5</v>
      </c>
      <c r="C2" s="145"/>
      <c r="D2" s="145"/>
      <c r="E2" s="145"/>
      <c r="F2" s="145"/>
      <c r="G2" s="145"/>
      <c r="H2" s="145"/>
      <c r="I2" s="145"/>
    </row>
    <row r="3" spans="1:10" ht="27" customHeight="1">
      <c r="A3" s="2" t="s">
        <v>11</v>
      </c>
      <c r="B3" s="162" t="s">
        <v>237</v>
      </c>
      <c r="C3" s="162"/>
      <c r="D3" s="162"/>
      <c r="E3" s="162"/>
      <c r="F3" s="162"/>
      <c r="G3" s="162"/>
      <c r="H3" s="162"/>
      <c r="I3" s="162"/>
    </row>
    <row r="4" spans="1:10">
      <c r="A4" s="2" t="s">
        <v>8</v>
      </c>
      <c r="B4" s="1" t="s">
        <v>38</v>
      </c>
      <c r="D4" s="1"/>
      <c r="E4" s="1"/>
      <c r="G4" s="88"/>
      <c r="H4" s="1"/>
    </row>
    <row r="5" spans="1:10">
      <c r="A5" s="2" t="s">
        <v>9</v>
      </c>
      <c r="B5" s="1" t="s">
        <v>70</v>
      </c>
      <c r="D5" s="1"/>
      <c r="E5" s="1"/>
      <c r="G5" s="1"/>
      <c r="H5" s="1"/>
    </row>
    <row r="6" spans="1:10">
      <c r="A6" s="2"/>
      <c r="B6" s="1" t="s">
        <v>328</v>
      </c>
      <c r="D6" s="1"/>
      <c r="E6" s="1"/>
      <c r="G6" s="88"/>
      <c r="H6" s="1"/>
    </row>
    <row r="7" spans="1:10">
      <c r="A7" s="2" t="s">
        <v>10</v>
      </c>
      <c r="B7" s="1" t="s">
        <v>64</v>
      </c>
      <c r="D7" s="1"/>
      <c r="E7" s="1"/>
      <c r="G7" s="37"/>
      <c r="H7" s="1"/>
    </row>
    <row r="9" spans="1:10" s="13" customFormat="1" ht="28.5" customHeight="1">
      <c r="A9" s="12" t="s">
        <v>13</v>
      </c>
      <c r="B9" s="12" t="s">
        <v>0</v>
      </c>
      <c r="C9" s="12" t="s">
        <v>14</v>
      </c>
      <c r="D9" s="12" t="s">
        <v>6</v>
      </c>
      <c r="E9" s="12" t="s">
        <v>7</v>
      </c>
      <c r="F9" s="12" t="s">
        <v>3</v>
      </c>
      <c r="G9" s="12" t="s">
        <v>1</v>
      </c>
      <c r="H9" s="75" t="s">
        <v>37</v>
      </c>
      <c r="I9" s="12" t="s">
        <v>2</v>
      </c>
    </row>
    <row r="10" spans="1:10" s="21" customFormat="1" ht="15" customHeight="1">
      <c r="A10" s="14" t="s">
        <v>178</v>
      </c>
      <c r="B10" s="15">
        <v>45845</v>
      </c>
      <c r="C10" s="16">
        <v>15075</v>
      </c>
      <c r="D10" s="16">
        <v>15075</v>
      </c>
      <c r="E10" s="16">
        <v>15083</v>
      </c>
      <c r="F10" s="17">
        <f>IF(D10="","",E10-D10)</f>
        <v>8</v>
      </c>
      <c r="G10" s="18">
        <v>0</v>
      </c>
      <c r="H10" s="66"/>
      <c r="I10" s="20" t="s">
        <v>61</v>
      </c>
      <c r="J10" s="33"/>
    </row>
    <row r="11" spans="1:10" s="21" customFormat="1" ht="15" customHeight="1">
      <c r="A11" s="14" t="s">
        <v>179</v>
      </c>
      <c r="B11" s="15">
        <v>45846</v>
      </c>
      <c r="C11" s="16">
        <v>15088</v>
      </c>
      <c r="D11" s="16">
        <f>+E10</f>
        <v>15083</v>
      </c>
      <c r="E11" s="16">
        <v>15091</v>
      </c>
      <c r="F11" s="17">
        <f>IF(D11="","",E11-D11)</f>
        <v>8</v>
      </c>
      <c r="G11" s="18">
        <v>75.94</v>
      </c>
      <c r="H11" s="66"/>
      <c r="I11" s="22" t="s">
        <v>73</v>
      </c>
      <c r="J11" s="33"/>
    </row>
    <row r="12" spans="1:10" s="21" customFormat="1" ht="15" customHeight="1">
      <c r="A12" s="14" t="s">
        <v>180</v>
      </c>
      <c r="B12" s="15">
        <v>45847</v>
      </c>
      <c r="C12" s="16">
        <v>15096</v>
      </c>
      <c r="D12" s="16">
        <f>+E11</f>
        <v>15091</v>
      </c>
      <c r="E12" s="16">
        <v>15100</v>
      </c>
      <c r="F12" s="17">
        <f t="shared" ref="F12:F14" si="0">IF(D12="","",E12-D12)</f>
        <v>9</v>
      </c>
      <c r="G12" s="18">
        <v>75.099999999999994</v>
      </c>
      <c r="H12" s="66"/>
      <c r="I12" s="22" t="s">
        <v>73</v>
      </c>
    </row>
    <row r="13" spans="1:10" s="21" customFormat="1" ht="37.5" customHeight="1">
      <c r="A13" s="14" t="s">
        <v>181</v>
      </c>
      <c r="B13" s="15">
        <v>45848</v>
      </c>
      <c r="C13" s="16">
        <v>15107</v>
      </c>
      <c r="D13" s="16">
        <f>+E12</f>
        <v>15100</v>
      </c>
      <c r="E13" s="16">
        <v>15107</v>
      </c>
      <c r="F13" s="17">
        <f t="shared" si="0"/>
        <v>7</v>
      </c>
      <c r="G13" s="18">
        <v>79.550210000000007</v>
      </c>
      <c r="H13" s="66"/>
      <c r="I13" s="24" t="s">
        <v>75</v>
      </c>
    </row>
    <row r="14" spans="1:10" s="21" customFormat="1" ht="23.45" customHeight="1">
      <c r="A14" s="14"/>
      <c r="B14" s="15">
        <v>45849</v>
      </c>
      <c r="C14" s="97">
        <v>15111</v>
      </c>
      <c r="D14" s="16">
        <f>+E13</f>
        <v>15107</v>
      </c>
      <c r="E14" s="16">
        <v>15111</v>
      </c>
      <c r="F14" s="17">
        <f t="shared" si="0"/>
        <v>4</v>
      </c>
      <c r="G14" s="18">
        <v>36</v>
      </c>
      <c r="H14" s="66"/>
      <c r="I14" s="24" t="s">
        <v>71</v>
      </c>
    </row>
    <row r="15" spans="1:10" s="21" customFormat="1" ht="15" customHeight="1">
      <c r="A15" s="14"/>
      <c r="B15" s="15">
        <v>45850</v>
      </c>
      <c r="C15" s="16"/>
      <c r="D15" s="16">
        <v>15111</v>
      </c>
      <c r="E15" s="16">
        <v>15117</v>
      </c>
      <c r="F15" s="17">
        <f>IF(D15="","",E15-D15)</f>
        <v>6</v>
      </c>
      <c r="G15" s="25"/>
      <c r="H15" s="66"/>
      <c r="I15" s="26"/>
    </row>
    <row r="16" spans="1:10" s="21" customFormat="1" ht="15" customHeight="1">
      <c r="A16" s="14" t="s">
        <v>107</v>
      </c>
      <c r="B16" s="15">
        <v>45852</v>
      </c>
      <c r="C16" s="16">
        <v>15125</v>
      </c>
      <c r="D16" s="16">
        <f>+E15</f>
        <v>15117</v>
      </c>
      <c r="E16" s="16">
        <v>15125</v>
      </c>
      <c r="F16" s="17">
        <f t="shared" ref="F16:F31" si="1">IF(D16="","",E16-D16)</f>
        <v>8</v>
      </c>
      <c r="G16" s="27">
        <v>109.7317</v>
      </c>
      <c r="H16" s="66"/>
      <c r="I16" s="26" t="s">
        <v>79</v>
      </c>
      <c r="J16" s="94"/>
    </row>
    <row r="17" spans="1:10" s="21" customFormat="1" ht="15" customHeight="1">
      <c r="A17" s="14"/>
      <c r="B17" s="15"/>
      <c r="C17" s="99">
        <f>+C16-C10</f>
        <v>50</v>
      </c>
      <c r="D17" s="99"/>
      <c r="E17" s="99"/>
      <c r="F17" s="100"/>
      <c r="G17" s="101">
        <f>SUM(G11:G16)</f>
        <v>376.32191</v>
      </c>
      <c r="H17" s="66">
        <f>+G17/C17</f>
        <v>7.5264382000000003</v>
      </c>
      <c r="I17" s="102" t="s">
        <v>90</v>
      </c>
      <c r="J17" s="94"/>
    </row>
    <row r="18" spans="1:10" s="21" customFormat="1" ht="15" customHeight="1">
      <c r="A18" s="14" t="s">
        <v>108</v>
      </c>
      <c r="B18" s="15">
        <v>45853</v>
      </c>
      <c r="C18" s="16">
        <v>15136</v>
      </c>
      <c r="D18" s="16">
        <v>15125</v>
      </c>
      <c r="E18" s="16">
        <v>15136</v>
      </c>
      <c r="F18" s="17">
        <f t="shared" si="1"/>
        <v>11</v>
      </c>
      <c r="G18" s="27">
        <v>30</v>
      </c>
      <c r="H18" s="66">
        <f>+G18/(C18-C16)</f>
        <v>2.7272727272727271</v>
      </c>
      <c r="I18" s="26" t="s">
        <v>73</v>
      </c>
    </row>
    <row r="19" spans="1:10" s="21" customFormat="1" ht="15" customHeight="1">
      <c r="A19" s="14" t="s">
        <v>109</v>
      </c>
      <c r="B19" s="15">
        <v>45854</v>
      </c>
      <c r="C19" s="16">
        <v>15136</v>
      </c>
      <c r="D19" s="16">
        <f>+E18</f>
        <v>15136</v>
      </c>
      <c r="E19" s="16">
        <v>15140</v>
      </c>
      <c r="F19" s="17">
        <f t="shared" si="1"/>
        <v>4</v>
      </c>
      <c r="G19" s="28">
        <v>85.7</v>
      </c>
      <c r="H19" s="66">
        <f>+G19/(C19-C16)</f>
        <v>7.790909090909091</v>
      </c>
      <c r="I19" s="26" t="s">
        <v>73</v>
      </c>
    </row>
    <row r="20" spans="1:10" s="32" customFormat="1" ht="15" customHeight="1">
      <c r="A20" s="14" t="s">
        <v>110</v>
      </c>
      <c r="B20" s="15">
        <v>45855</v>
      </c>
      <c r="C20" s="29"/>
      <c r="D20" s="29">
        <v>15140</v>
      </c>
      <c r="E20" s="29">
        <v>15150</v>
      </c>
      <c r="F20" s="17">
        <f t="shared" si="1"/>
        <v>10</v>
      </c>
      <c r="G20" s="28"/>
      <c r="H20" s="66"/>
      <c r="I20" s="31"/>
    </row>
    <row r="21" spans="1:10" s="32" customFormat="1" ht="15" customHeight="1">
      <c r="A21" s="14" t="s">
        <v>111</v>
      </c>
      <c r="B21" s="15">
        <v>45856</v>
      </c>
      <c r="C21" s="29">
        <v>15154</v>
      </c>
      <c r="D21" s="29">
        <f>+E20</f>
        <v>15150</v>
      </c>
      <c r="E21" s="29">
        <v>15157</v>
      </c>
      <c r="F21" s="17">
        <f t="shared" si="1"/>
        <v>7</v>
      </c>
      <c r="G21" s="28">
        <v>39.89</v>
      </c>
      <c r="H21" s="66"/>
      <c r="I21" s="26" t="s">
        <v>106</v>
      </c>
    </row>
    <row r="22" spans="1:10" s="21" customFormat="1" ht="15" customHeight="1">
      <c r="A22" s="14" t="s">
        <v>112</v>
      </c>
      <c r="B22" s="15">
        <v>45857</v>
      </c>
      <c r="C22" s="16">
        <v>15157</v>
      </c>
      <c r="D22" s="16">
        <f>+E21</f>
        <v>15157</v>
      </c>
      <c r="E22" s="16">
        <v>15165</v>
      </c>
      <c r="F22" s="17">
        <f t="shared" si="1"/>
        <v>8</v>
      </c>
      <c r="G22" s="28">
        <v>104</v>
      </c>
      <c r="H22" s="66"/>
      <c r="I22" s="26"/>
    </row>
    <row r="23" spans="1:10" s="21" customFormat="1" ht="15" customHeight="1">
      <c r="A23" s="14" t="s">
        <v>206</v>
      </c>
      <c r="B23" s="15">
        <v>45859</v>
      </c>
      <c r="C23" s="16">
        <v>15170</v>
      </c>
      <c r="D23" s="16">
        <f>+E22</f>
        <v>15165</v>
      </c>
      <c r="E23" s="16">
        <v>15171</v>
      </c>
      <c r="F23" s="17">
        <f t="shared" si="1"/>
        <v>6</v>
      </c>
      <c r="G23" s="18">
        <v>67.91</v>
      </c>
      <c r="H23" s="66"/>
      <c r="I23" s="26" t="s">
        <v>197</v>
      </c>
    </row>
    <row r="24" spans="1:10" s="21" customFormat="1" ht="15" customHeight="1">
      <c r="A24" s="14"/>
      <c r="B24" s="15"/>
      <c r="C24" s="99">
        <f>+C23-C16</f>
        <v>45</v>
      </c>
      <c r="D24" s="99"/>
      <c r="E24" s="99"/>
      <c r="F24" s="17" t="str">
        <f t="shared" si="1"/>
        <v/>
      </c>
      <c r="G24" s="106">
        <f>SUM(G18:G23)</f>
        <v>327.5</v>
      </c>
      <c r="H24" s="66">
        <f>+G24/C24</f>
        <v>7.2777777777777777</v>
      </c>
      <c r="I24" s="102" t="s">
        <v>90</v>
      </c>
    </row>
    <row r="25" spans="1:10" s="21" customFormat="1" ht="15" customHeight="1">
      <c r="A25" s="14"/>
      <c r="B25" s="15">
        <v>45860</v>
      </c>
      <c r="C25" s="16"/>
      <c r="D25" s="16">
        <f>+E23</f>
        <v>15171</v>
      </c>
      <c r="E25" s="16">
        <f>+D25</f>
        <v>15171</v>
      </c>
      <c r="F25" s="17">
        <f>IF(D25="","",E25-D25)</f>
        <v>0</v>
      </c>
      <c r="G25" s="18"/>
      <c r="H25" s="66"/>
      <c r="I25" s="26"/>
    </row>
    <row r="26" spans="1:10" s="21" customFormat="1" ht="15" customHeight="1">
      <c r="A26" s="14"/>
      <c r="B26" s="15"/>
      <c r="C26" s="16"/>
      <c r="D26" s="16"/>
      <c r="E26" s="16"/>
      <c r="F26" s="17" t="str">
        <f t="shared" si="1"/>
        <v/>
      </c>
      <c r="G26" s="18"/>
      <c r="H26" s="66"/>
      <c r="I26" s="26"/>
    </row>
    <row r="27" spans="1:10" s="21" customFormat="1" ht="15" customHeight="1">
      <c r="A27" s="14"/>
      <c r="B27" s="15">
        <v>45869</v>
      </c>
      <c r="C27" s="16"/>
      <c r="D27" s="16">
        <f>+E25</f>
        <v>15171</v>
      </c>
      <c r="E27" s="16">
        <v>15178</v>
      </c>
      <c r="F27" s="17">
        <f t="shared" si="1"/>
        <v>7</v>
      </c>
      <c r="G27" s="18"/>
      <c r="H27" s="66"/>
      <c r="I27" s="26" t="s">
        <v>220</v>
      </c>
    </row>
    <row r="28" spans="1:10" s="21" customFormat="1" ht="15" customHeight="1">
      <c r="A28" s="14" t="s">
        <v>214</v>
      </c>
      <c r="B28" s="15">
        <v>45870</v>
      </c>
      <c r="C28" s="16"/>
      <c r="D28" s="16">
        <f>+E27</f>
        <v>15178</v>
      </c>
      <c r="E28" s="16">
        <v>15182</v>
      </c>
      <c r="F28" s="17">
        <f t="shared" si="1"/>
        <v>4</v>
      </c>
      <c r="G28" s="18"/>
      <c r="H28" s="66"/>
      <c r="I28" s="26" t="s">
        <v>218</v>
      </c>
    </row>
    <row r="29" spans="1:10" s="21" customFormat="1" ht="15" customHeight="1">
      <c r="A29" s="14" t="s">
        <v>213</v>
      </c>
      <c r="B29" s="15">
        <v>45871</v>
      </c>
      <c r="C29" s="16">
        <v>15182</v>
      </c>
      <c r="D29" s="16">
        <f>+E28</f>
        <v>15182</v>
      </c>
      <c r="E29" s="16">
        <v>15189</v>
      </c>
      <c r="F29" s="17">
        <f t="shared" si="1"/>
        <v>7</v>
      </c>
      <c r="G29" s="18">
        <v>125.5</v>
      </c>
      <c r="H29" s="66"/>
      <c r="I29" s="26" t="s">
        <v>219</v>
      </c>
    </row>
    <row r="30" spans="1:10" s="21" customFormat="1" ht="15" customHeight="1">
      <c r="A30" s="14"/>
      <c r="B30" s="15">
        <v>45871</v>
      </c>
      <c r="C30" s="16"/>
      <c r="D30" s="16">
        <f>+E29</f>
        <v>15189</v>
      </c>
      <c r="E30" s="16">
        <v>15196</v>
      </c>
      <c r="F30" s="17">
        <f t="shared" si="1"/>
        <v>7</v>
      </c>
      <c r="G30" s="18"/>
      <c r="H30" s="66"/>
      <c r="I30" s="26" t="s">
        <v>220</v>
      </c>
    </row>
    <row r="31" spans="1:10" s="21" customFormat="1" ht="15" customHeight="1">
      <c r="A31" s="14"/>
      <c r="B31" s="15">
        <v>45872</v>
      </c>
      <c r="C31" s="16">
        <v>15196</v>
      </c>
      <c r="D31" s="16">
        <f>+E30</f>
        <v>15196</v>
      </c>
      <c r="E31" s="16">
        <f>+D31+8</f>
        <v>15204</v>
      </c>
      <c r="F31" s="17">
        <f t="shared" si="1"/>
        <v>8</v>
      </c>
      <c r="G31" s="18">
        <v>117.41</v>
      </c>
      <c r="H31" s="66"/>
      <c r="I31" s="26" t="s">
        <v>219</v>
      </c>
    </row>
    <row r="32" spans="1:10" s="21" customFormat="1" ht="15" customHeight="1">
      <c r="A32" s="14"/>
      <c r="B32" s="15">
        <v>45873</v>
      </c>
      <c r="C32" s="16">
        <v>15210</v>
      </c>
      <c r="D32" s="16"/>
      <c r="E32" s="16"/>
      <c r="F32" s="5">
        <f t="shared" ref="F32:F49" si="2">+E32-D32</f>
        <v>0</v>
      </c>
      <c r="G32" s="18">
        <v>105.7</v>
      </c>
      <c r="H32" s="66"/>
      <c r="I32" s="26" t="s">
        <v>99</v>
      </c>
    </row>
    <row r="33" spans="1:9" s="21" customFormat="1" ht="15" customHeight="1">
      <c r="A33" s="14"/>
      <c r="B33" s="15"/>
      <c r="C33" s="99">
        <f>+C32-C23</f>
        <v>40</v>
      </c>
      <c r="D33" s="99"/>
      <c r="E33" s="99"/>
      <c r="F33" s="5"/>
      <c r="G33" s="106">
        <f>+G32+G31+G29</f>
        <v>348.61</v>
      </c>
      <c r="H33" s="66">
        <f>+G33/C33</f>
        <v>8.7152500000000011</v>
      </c>
      <c r="I33" s="102" t="s">
        <v>90</v>
      </c>
    </row>
    <row r="34" spans="1:9" s="21" customFormat="1" ht="15" customHeight="1">
      <c r="A34" s="14"/>
      <c r="B34" s="15">
        <v>45874</v>
      </c>
      <c r="C34" s="16">
        <v>15222</v>
      </c>
      <c r="D34" s="16"/>
      <c r="E34" s="16"/>
      <c r="F34" s="5">
        <f t="shared" si="2"/>
        <v>0</v>
      </c>
      <c r="G34" s="18">
        <v>122</v>
      </c>
      <c r="H34" s="66"/>
      <c r="I34" s="26" t="s">
        <v>252</v>
      </c>
    </row>
    <row r="35" spans="1:9" s="21" customFormat="1" ht="15" customHeight="1">
      <c r="A35" s="14"/>
      <c r="B35" s="15">
        <v>45875</v>
      </c>
      <c r="C35" s="16">
        <v>15237</v>
      </c>
      <c r="D35" s="16"/>
      <c r="E35" s="16"/>
      <c r="F35" s="5">
        <f t="shared" si="2"/>
        <v>0</v>
      </c>
      <c r="G35" s="18">
        <v>108.26</v>
      </c>
      <c r="H35" s="66">
        <f>+G35/(C35-C34)</f>
        <v>7.2173333333333334</v>
      </c>
      <c r="I35" s="26" t="s">
        <v>99</v>
      </c>
    </row>
    <row r="36" spans="1:9" s="21" customFormat="1" ht="15" customHeight="1">
      <c r="A36" s="14" t="s">
        <v>272</v>
      </c>
      <c r="B36" s="15">
        <v>45876</v>
      </c>
      <c r="C36" s="16"/>
      <c r="D36" s="16">
        <v>15246</v>
      </c>
      <c r="E36" s="16">
        <v>15254</v>
      </c>
      <c r="F36" s="5">
        <f t="shared" si="2"/>
        <v>8</v>
      </c>
      <c r="G36" s="18"/>
      <c r="H36" s="66"/>
      <c r="I36" s="26" t="s">
        <v>270</v>
      </c>
    </row>
    <row r="37" spans="1:9" s="21" customFormat="1" ht="15" customHeight="1">
      <c r="A37" s="14" t="s">
        <v>273</v>
      </c>
      <c r="B37" s="15">
        <v>45876</v>
      </c>
      <c r="C37" s="16">
        <v>15250</v>
      </c>
      <c r="D37" s="16">
        <v>15254</v>
      </c>
      <c r="E37" s="16">
        <v>15262</v>
      </c>
      <c r="F37" s="5">
        <f t="shared" si="2"/>
        <v>8</v>
      </c>
      <c r="G37" s="18">
        <v>102.68</v>
      </c>
      <c r="H37" s="66">
        <f t="shared" ref="H37" si="3">+G37/(C37-C35)</f>
        <v>7.8984615384615386</v>
      </c>
      <c r="I37" s="26" t="s">
        <v>271</v>
      </c>
    </row>
    <row r="38" spans="1:9" ht="15" customHeight="1">
      <c r="A38" s="9" t="s">
        <v>274</v>
      </c>
      <c r="B38" s="15">
        <v>45877</v>
      </c>
      <c r="C38" s="4">
        <v>15265</v>
      </c>
      <c r="D38" s="4">
        <v>15262</v>
      </c>
      <c r="E38" s="4">
        <v>15271</v>
      </c>
      <c r="F38" s="5">
        <f t="shared" si="2"/>
        <v>9</v>
      </c>
      <c r="G38" s="10">
        <v>71.400000000000006</v>
      </c>
      <c r="H38" s="66"/>
      <c r="I38" s="6" t="s">
        <v>246</v>
      </c>
    </row>
    <row r="39" spans="1:9" ht="15" customHeight="1">
      <c r="A39" s="9" t="s">
        <v>275</v>
      </c>
      <c r="B39" s="15">
        <v>45877</v>
      </c>
      <c r="C39" s="4"/>
      <c r="D39" s="4">
        <v>15271</v>
      </c>
      <c r="E39" s="4">
        <v>15272</v>
      </c>
      <c r="F39" s="5">
        <f t="shared" si="2"/>
        <v>1</v>
      </c>
      <c r="G39" s="10"/>
      <c r="H39" s="66"/>
      <c r="I39" s="6" t="s">
        <v>276</v>
      </c>
    </row>
    <row r="40" spans="1:9" ht="15" customHeight="1">
      <c r="A40" s="9" t="s">
        <v>279</v>
      </c>
      <c r="B40" s="15">
        <v>45878</v>
      </c>
      <c r="C40" s="4">
        <v>15273</v>
      </c>
      <c r="D40" s="4">
        <v>15272</v>
      </c>
      <c r="E40" s="4">
        <v>15279</v>
      </c>
      <c r="F40" s="5">
        <f t="shared" si="2"/>
        <v>7</v>
      </c>
      <c r="G40" s="10">
        <v>113.86</v>
      </c>
      <c r="H40" s="66"/>
      <c r="I40" s="26" t="s">
        <v>277</v>
      </c>
    </row>
    <row r="41" spans="1:9" ht="15" customHeight="1">
      <c r="A41" s="9" t="s">
        <v>278</v>
      </c>
      <c r="B41" s="15">
        <v>45878</v>
      </c>
      <c r="C41" s="4"/>
      <c r="D41" s="4">
        <v>15279</v>
      </c>
      <c r="E41" s="4">
        <v>15287</v>
      </c>
      <c r="F41" s="5">
        <f t="shared" si="2"/>
        <v>8</v>
      </c>
      <c r="G41" s="10"/>
      <c r="H41" s="66"/>
      <c r="I41" s="6" t="s">
        <v>219</v>
      </c>
    </row>
    <row r="42" spans="1:9" ht="15" customHeight="1">
      <c r="A42" s="9"/>
      <c r="B42" s="15"/>
      <c r="C42" s="111">
        <f>+C40-C35</f>
        <v>36</v>
      </c>
      <c r="D42" s="111"/>
      <c r="E42" s="111"/>
      <c r="F42" s="5"/>
      <c r="G42" s="35">
        <f>+G40+G38+G37</f>
        <v>287.94</v>
      </c>
      <c r="H42" s="66">
        <f>+G42/C42</f>
        <v>7.9983333333333331</v>
      </c>
      <c r="I42" s="36" t="s">
        <v>90</v>
      </c>
    </row>
    <row r="43" spans="1:9" ht="15" customHeight="1">
      <c r="A43" s="9" t="s">
        <v>269</v>
      </c>
      <c r="B43" s="3">
        <v>45885</v>
      </c>
      <c r="C43" s="4">
        <v>15291</v>
      </c>
      <c r="D43" s="4">
        <v>15292</v>
      </c>
      <c r="E43" s="4">
        <v>15298</v>
      </c>
      <c r="F43" s="5">
        <f t="shared" si="2"/>
        <v>6</v>
      </c>
      <c r="G43" s="10">
        <v>50</v>
      </c>
      <c r="H43" s="66"/>
      <c r="I43" s="6"/>
    </row>
    <row r="44" spans="1:9" ht="15" customHeight="1">
      <c r="A44" s="9" t="s">
        <v>268</v>
      </c>
      <c r="B44" s="3">
        <v>45887</v>
      </c>
      <c r="C44" s="4">
        <v>15301</v>
      </c>
      <c r="D44" s="4">
        <v>15298</v>
      </c>
      <c r="E44" s="4">
        <v>15308</v>
      </c>
      <c r="F44" s="5">
        <f t="shared" si="2"/>
        <v>10</v>
      </c>
      <c r="G44" s="10">
        <v>129.41</v>
      </c>
      <c r="H44" s="66"/>
      <c r="I44" s="6"/>
    </row>
    <row r="45" spans="1:9" ht="15" customHeight="1">
      <c r="A45" s="9" t="s">
        <v>267</v>
      </c>
      <c r="B45" s="3">
        <v>45888</v>
      </c>
      <c r="C45" s="4">
        <v>15311</v>
      </c>
      <c r="D45" s="4">
        <v>15308</v>
      </c>
      <c r="E45" s="4">
        <v>15318</v>
      </c>
      <c r="F45" s="5">
        <f t="shared" si="2"/>
        <v>10</v>
      </c>
      <c r="G45" s="10">
        <v>73.8</v>
      </c>
      <c r="H45" s="66"/>
      <c r="I45" s="6"/>
    </row>
    <row r="46" spans="1:9" ht="15" customHeight="1">
      <c r="A46" s="9" t="s">
        <v>266</v>
      </c>
      <c r="B46" s="3">
        <v>45889</v>
      </c>
      <c r="C46" s="4">
        <v>15324</v>
      </c>
      <c r="D46" s="4">
        <v>15318</v>
      </c>
      <c r="E46" s="4">
        <v>15329</v>
      </c>
      <c r="F46" s="5">
        <f t="shared" si="2"/>
        <v>11</v>
      </c>
      <c r="G46" s="10">
        <v>113.63</v>
      </c>
      <c r="H46" s="66"/>
      <c r="I46" s="26" t="s">
        <v>99</v>
      </c>
    </row>
    <row r="47" spans="1:9" ht="15" customHeight="1">
      <c r="A47" s="9"/>
      <c r="B47" s="3"/>
      <c r="C47" s="111">
        <f>+C46-C40</f>
        <v>51</v>
      </c>
      <c r="D47" s="111"/>
      <c r="E47" s="111"/>
      <c r="F47" s="5">
        <f t="shared" si="2"/>
        <v>0</v>
      </c>
      <c r="G47" s="35">
        <f>SUM(G43:G46)</f>
        <v>366.84</v>
      </c>
      <c r="H47" s="66">
        <f>+G47/C47</f>
        <v>7.1929411764705877</v>
      </c>
      <c r="I47" s="36" t="s">
        <v>90</v>
      </c>
    </row>
    <row r="48" spans="1:9" ht="15" customHeight="1">
      <c r="A48" s="9" t="s">
        <v>265</v>
      </c>
      <c r="B48" s="3">
        <v>45890</v>
      </c>
      <c r="C48" s="4">
        <v>15330</v>
      </c>
      <c r="D48" s="4">
        <v>15329</v>
      </c>
      <c r="E48" s="4">
        <v>15339</v>
      </c>
      <c r="F48" s="5">
        <f t="shared" si="2"/>
        <v>10</v>
      </c>
      <c r="G48" s="10">
        <v>48.2</v>
      </c>
      <c r="H48" s="66">
        <f>+G48/(C48-C46)</f>
        <v>8.0333333333333332</v>
      </c>
      <c r="I48" s="26" t="s">
        <v>99</v>
      </c>
    </row>
    <row r="49" spans="1:11" ht="15" customHeight="1">
      <c r="A49" s="9" t="s">
        <v>264</v>
      </c>
      <c r="B49" s="3">
        <v>45891</v>
      </c>
      <c r="C49" s="4">
        <v>15340</v>
      </c>
      <c r="D49" s="4">
        <v>15339</v>
      </c>
      <c r="E49" s="4">
        <v>15350</v>
      </c>
      <c r="F49" s="5">
        <f t="shared" si="2"/>
        <v>11</v>
      </c>
      <c r="G49" s="10">
        <v>90</v>
      </c>
      <c r="H49" s="66">
        <f t="shared" ref="H49" si="4">+G49/(C49-C48)</f>
        <v>9</v>
      </c>
      <c r="I49" s="26" t="s">
        <v>99</v>
      </c>
    </row>
    <row r="50" spans="1:11" ht="15" customHeight="1">
      <c r="A50" s="9" t="s">
        <v>256</v>
      </c>
      <c r="B50" s="3">
        <v>45892</v>
      </c>
      <c r="C50" s="4">
        <v>15347</v>
      </c>
      <c r="D50" s="4">
        <f>+E50-8</f>
        <v>15350</v>
      </c>
      <c r="E50" s="4">
        <v>15358</v>
      </c>
      <c r="F50" s="5">
        <f>+E50-D50</f>
        <v>8</v>
      </c>
      <c r="G50" s="10">
        <v>86</v>
      </c>
      <c r="H50" s="66"/>
      <c r="I50" s="36"/>
      <c r="J50" s="21"/>
      <c r="K50" s="21"/>
    </row>
    <row r="51" spans="1:11" ht="15" customHeight="1">
      <c r="A51" s="9" t="s">
        <v>322</v>
      </c>
      <c r="B51" s="3">
        <v>45894</v>
      </c>
      <c r="C51" s="4"/>
      <c r="D51" s="4">
        <f>+E50</f>
        <v>15358</v>
      </c>
      <c r="E51" s="4">
        <v>15362</v>
      </c>
      <c r="F51" s="5">
        <f>+E51-D51</f>
        <v>4</v>
      </c>
      <c r="G51" s="10"/>
      <c r="H51" s="66"/>
      <c r="I51" s="26" t="s">
        <v>316</v>
      </c>
      <c r="J51" s="21"/>
      <c r="K51" s="21"/>
    </row>
    <row r="52" spans="1:11" ht="15" customHeight="1">
      <c r="A52" s="9" t="s">
        <v>257</v>
      </c>
      <c r="B52" s="3">
        <v>45894</v>
      </c>
      <c r="C52" s="4">
        <v>15362</v>
      </c>
      <c r="D52" s="4">
        <f>+E50</f>
        <v>15358</v>
      </c>
      <c r="E52" s="4">
        <v>15367</v>
      </c>
      <c r="F52" s="5">
        <f>+E52-D52</f>
        <v>9</v>
      </c>
      <c r="G52" s="10">
        <v>118.85</v>
      </c>
      <c r="H52" s="66"/>
      <c r="I52" s="26" t="s">
        <v>99</v>
      </c>
      <c r="J52" s="21"/>
      <c r="K52" s="21"/>
    </row>
    <row r="53" spans="1:11" ht="15" customHeight="1">
      <c r="A53" s="9"/>
      <c r="B53" s="3"/>
      <c r="C53" s="111">
        <f>+C52-C49</f>
        <v>22</v>
      </c>
      <c r="D53" s="111"/>
      <c r="E53" s="111"/>
      <c r="F53" s="5">
        <f t="shared" ref="F53:F70" si="5">+E53-D53</f>
        <v>0</v>
      </c>
      <c r="G53" s="35">
        <f>+G52+G50</f>
        <v>204.85</v>
      </c>
      <c r="H53" s="66">
        <f>+G53/C53</f>
        <v>9.3113636363636356</v>
      </c>
      <c r="I53" s="36" t="s">
        <v>90</v>
      </c>
      <c r="J53" s="21"/>
      <c r="K53" s="21"/>
    </row>
    <row r="54" spans="1:11" ht="15" customHeight="1">
      <c r="A54" s="9" t="s">
        <v>320</v>
      </c>
      <c r="B54" s="3">
        <v>45895</v>
      </c>
      <c r="C54" s="111"/>
      <c r="D54" s="4">
        <v>15366</v>
      </c>
      <c r="E54" s="4">
        <v>15373</v>
      </c>
      <c r="F54" s="5"/>
      <c r="G54" s="35"/>
      <c r="H54" s="66"/>
      <c r="I54" s="26" t="s">
        <v>316</v>
      </c>
      <c r="J54" s="21"/>
      <c r="K54" s="21"/>
    </row>
    <row r="55" spans="1:11" ht="15" customHeight="1">
      <c r="A55" s="9" t="s">
        <v>258</v>
      </c>
      <c r="B55" s="3">
        <v>45895</v>
      </c>
      <c r="C55" s="4">
        <v>15366</v>
      </c>
      <c r="D55" s="4">
        <f>+E54</f>
        <v>15373</v>
      </c>
      <c r="E55" s="4">
        <v>15380</v>
      </c>
      <c r="F55" s="5">
        <f t="shared" si="5"/>
        <v>7</v>
      </c>
      <c r="G55" s="10">
        <v>44.02</v>
      </c>
      <c r="H55" s="66">
        <f>+G55/(C55-C52)</f>
        <v>11.005000000000001</v>
      </c>
      <c r="I55" s="6" t="s">
        <v>321</v>
      </c>
    </row>
    <row r="56" spans="1:11" ht="15" customHeight="1">
      <c r="A56" s="9" t="s">
        <v>318</v>
      </c>
      <c r="B56" s="3">
        <v>45896</v>
      </c>
      <c r="C56" s="4"/>
      <c r="D56" s="4">
        <f>+E55</f>
        <v>15380</v>
      </c>
      <c r="E56" s="4">
        <v>15388</v>
      </c>
      <c r="F56" s="5">
        <f t="shared" si="5"/>
        <v>8</v>
      </c>
      <c r="G56" s="10"/>
      <c r="H56" s="66"/>
      <c r="I56" s="26" t="s">
        <v>316</v>
      </c>
    </row>
    <row r="57" spans="1:11" ht="15" customHeight="1">
      <c r="A57" s="9" t="s">
        <v>259</v>
      </c>
      <c r="B57" s="3">
        <v>45896</v>
      </c>
      <c r="C57" s="4">
        <v>15380</v>
      </c>
      <c r="D57" s="4">
        <v>15388</v>
      </c>
      <c r="E57" s="4">
        <v>15395</v>
      </c>
      <c r="F57" s="5">
        <f t="shared" si="5"/>
        <v>7</v>
      </c>
      <c r="G57" s="10">
        <v>130</v>
      </c>
      <c r="H57" s="66">
        <f>+G57/(C57-C55)</f>
        <v>9.2857142857142865</v>
      </c>
      <c r="I57" s="26" t="s">
        <v>319</v>
      </c>
    </row>
    <row r="58" spans="1:11" ht="15" customHeight="1">
      <c r="A58" s="9"/>
      <c r="B58" s="3"/>
      <c r="C58" s="111">
        <f>+C57-C52</f>
        <v>18</v>
      </c>
      <c r="D58" s="111"/>
      <c r="E58" s="111"/>
      <c r="F58" s="5"/>
      <c r="G58" s="35">
        <f>+G57+G55</f>
        <v>174.02</v>
      </c>
      <c r="H58" s="66">
        <f>+G58/C58</f>
        <v>9.6677777777777791</v>
      </c>
      <c r="I58" s="36" t="s">
        <v>90</v>
      </c>
    </row>
    <row r="59" spans="1:11" ht="15" customHeight="1">
      <c r="A59" s="9" t="s">
        <v>317</v>
      </c>
      <c r="B59" s="3">
        <v>45897</v>
      </c>
      <c r="C59" s="111"/>
      <c r="D59" s="4">
        <v>15395</v>
      </c>
      <c r="E59" s="4">
        <v>15402</v>
      </c>
      <c r="F59" s="5">
        <f t="shared" si="5"/>
        <v>7</v>
      </c>
      <c r="G59" s="35"/>
      <c r="H59" s="66"/>
      <c r="I59" s="26" t="s">
        <v>316</v>
      </c>
    </row>
    <row r="60" spans="1:11" ht="15" customHeight="1">
      <c r="A60" s="9" t="s">
        <v>260</v>
      </c>
      <c r="B60" s="3">
        <v>45897</v>
      </c>
      <c r="C60" s="4">
        <v>15395</v>
      </c>
      <c r="D60" s="4">
        <v>15402</v>
      </c>
      <c r="E60" s="4">
        <v>15409</v>
      </c>
      <c r="F60" s="5">
        <f t="shared" si="5"/>
        <v>7</v>
      </c>
      <c r="G60" s="10">
        <v>124.33</v>
      </c>
      <c r="H60" s="66">
        <f>+G60/(C60-C57)</f>
        <v>8.288666666666666</v>
      </c>
      <c r="I60" s="26" t="s">
        <v>99</v>
      </c>
      <c r="J60" s="21"/>
      <c r="K60" s="21"/>
    </row>
    <row r="61" spans="1:11" ht="15" customHeight="1">
      <c r="A61" s="9" t="s">
        <v>315</v>
      </c>
      <c r="B61" s="3">
        <v>45898</v>
      </c>
      <c r="C61" s="4"/>
      <c r="D61" s="4">
        <v>15409</v>
      </c>
      <c r="E61" s="4">
        <v>15417</v>
      </c>
      <c r="F61" s="5">
        <f t="shared" si="5"/>
        <v>8</v>
      </c>
      <c r="G61" s="10"/>
      <c r="H61" s="66"/>
      <c r="I61" s="26" t="s">
        <v>316</v>
      </c>
      <c r="J61" s="21"/>
      <c r="K61" s="21"/>
    </row>
    <row r="62" spans="1:11" ht="15" customHeight="1">
      <c r="A62" s="9" t="s">
        <v>261</v>
      </c>
      <c r="B62" s="3">
        <v>45898</v>
      </c>
      <c r="C62" s="4">
        <v>15410</v>
      </c>
      <c r="D62" s="4">
        <v>15417</v>
      </c>
      <c r="E62" s="4">
        <v>15425</v>
      </c>
      <c r="F62" s="5">
        <f t="shared" si="5"/>
        <v>8</v>
      </c>
      <c r="G62" s="10">
        <v>107.27</v>
      </c>
      <c r="H62" s="66">
        <f>+G62/(C62-C60)</f>
        <v>7.1513333333333327</v>
      </c>
      <c r="I62" s="26" t="s">
        <v>99</v>
      </c>
      <c r="J62" s="21"/>
      <c r="K62" s="21"/>
    </row>
    <row r="63" spans="1:11" ht="15" customHeight="1">
      <c r="A63" s="9" t="s">
        <v>314</v>
      </c>
      <c r="B63" s="3">
        <v>45899</v>
      </c>
      <c r="C63" s="4"/>
      <c r="D63" s="4">
        <v>15425</v>
      </c>
      <c r="E63" s="4">
        <v>15433</v>
      </c>
      <c r="F63" s="5">
        <f t="shared" si="5"/>
        <v>8</v>
      </c>
      <c r="G63" s="10"/>
      <c r="H63" s="66"/>
      <c r="I63" s="26" t="s">
        <v>316</v>
      </c>
      <c r="J63" s="21"/>
      <c r="K63" s="21"/>
    </row>
    <row r="64" spans="1:11" ht="15" customHeight="1">
      <c r="A64" s="9" t="s">
        <v>262</v>
      </c>
      <c r="B64" s="3">
        <v>45899</v>
      </c>
      <c r="C64" s="4">
        <v>15425</v>
      </c>
      <c r="D64" s="4">
        <v>15433</v>
      </c>
      <c r="E64" s="4">
        <v>15439</v>
      </c>
      <c r="F64" s="5">
        <f t="shared" si="5"/>
        <v>6</v>
      </c>
      <c r="G64" s="10">
        <v>108.01</v>
      </c>
      <c r="H64" s="66"/>
      <c r="I64" s="26" t="s">
        <v>196</v>
      </c>
      <c r="J64" s="21"/>
      <c r="K64" s="21"/>
    </row>
    <row r="65" spans="1:11" ht="15" customHeight="1">
      <c r="A65" s="9" t="s">
        <v>313</v>
      </c>
      <c r="B65" s="3">
        <v>45900</v>
      </c>
      <c r="C65" s="4"/>
      <c r="D65" s="4">
        <v>15438</v>
      </c>
      <c r="E65" s="4">
        <v>15446</v>
      </c>
      <c r="F65" s="5">
        <f t="shared" si="5"/>
        <v>8</v>
      </c>
      <c r="G65" s="10"/>
      <c r="H65" s="66"/>
      <c r="I65" s="26" t="s">
        <v>316</v>
      </c>
      <c r="J65" s="21"/>
      <c r="K65" s="21"/>
    </row>
    <row r="66" spans="1:11" ht="15" customHeight="1">
      <c r="A66" s="9" t="s">
        <v>263</v>
      </c>
      <c r="B66" s="3">
        <v>45900</v>
      </c>
      <c r="C66" s="4">
        <v>15438</v>
      </c>
      <c r="D66" s="4">
        <v>15446</v>
      </c>
      <c r="E66" s="4">
        <v>15452</v>
      </c>
      <c r="F66" s="5">
        <f t="shared" si="5"/>
        <v>6</v>
      </c>
      <c r="G66" s="10">
        <v>127.64</v>
      </c>
      <c r="H66" s="66"/>
      <c r="I66" s="26" t="s">
        <v>99</v>
      </c>
      <c r="J66" s="21"/>
      <c r="K66" s="21"/>
    </row>
    <row r="67" spans="1:11" ht="15" customHeight="1">
      <c r="A67" s="9"/>
      <c r="B67" s="3"/>
      <c r="C67" s="111">
        <f>+C66-C62</f>
        <v>28</v>
      </c>
      <c r="D67" s="4"/>
      <c r="E67" s="4"/>
      <c r="F67" s="5"/>
      <c r="G67" s="35">
        <f>+G66+G64</f>
        <v>235.65</v>
      </c>
      <c r="H67" s="66">
        <f>+G67/C67</f>
        <v>8.4160714285714295</v>
      </c>
      <c r="I67" s="36" t="s">
        <v>90</v>
      </c>
      <c r="J67" s="21"/>
      <c r="K67" s="21"/>
    </row>
    <row r="68" spans="1:11" ht="15" customHeight="1">
      <c r="A68" s="9"/>
      <c r="B68" s="3">
        <v>45901</v>
      </c>
      <c r="C68" s="4">
        <v>15452</v>
      </c>
      <c r="D68" s="4"/>
      <c r="E68" s="4"/>
      <c r="F68" s="5">
        <f t="shared" si="5"/>
        <v>0</v>
      </c>
      <c r="G68" s="10">
        <v>126.19</v>
      </c>
      <c r="H68" s="66">
        <f>+G68/(C68-C66)</f>
        <v>9.0135714285714279</v>
      </c>
      <c r="I68" s="26" t="s">
        <v>99</v>
      </c>
      <c r="J68" s="21"/>
      <c r="K68" s="21"/>
    </row>
    <row r="69" spans="1:11" ht="15" customHeight="1">
      <c r="A69" s="9"/>
      <c r="B69" s="3">
        <v>45902</v>
      </c>
      <c r="C69" s="4">
        <v>15466</v>
      </c>
      <c r="D69" s="4"/>
      <c r="E69" s="4"/>
      <c r="F69" s="5">
        <f t="shared" si="5"/>
        <v>0</v>
      </c>
      <c r="G69" s="10">
        <f>120.68+52</f>
        <v>172.68</v>
      </c>
      <c r="H69" s="66">
        <f>+G69/(C69-C68)</f>
        <v>12.334285714285715</v>
      </c>
      <c r="I69" s="26" t="s">
        <v>99</v>
      </c>
      <c r="J69" s="21"/>
      <c r="K69" s="21"/>
    </row>
    <row r="70" spans="1:11" ht="15" customHeight="1">
      <c r="A70" s="9"/>
      <c r="B70" s="3">
        <v>45902</v>
      </c>
      <c r="C70" s="4">
        <v>15474</v>
      </c>
      <c r="D70" s="4"/>
      <c r="E70" s="4"/>
      <c r="F70" s="5">
        <f t="shared" si="5"/>
        <v>0</v>
      </c>
      <c r="G70" s="10">
        <v>68.900000000000006</v>
      </c>
      <c r="H70" s="66">
        <f>+G70/(C70-C69)</f>
        <v>8.6125000000000007</v>
      </c>
      <c r="I70" s="26" t="s">
        <v>99</v>
      </c>
      <c r="J70" s="21"/>
      <c r="K70" s="21"/>
    </row>
    <row r="71" spans="1:11" ht="15" customHeight="1">
      <c r="A71" s="9"/>
      <c r="B71" s="3">
        <v>45903</v>
      </c>
      <c r="C71" s="4">
        <v>15483</v>
      </c>
      <c r="D71" s="111"/>
      <c r="E71" s="111"/>
      <c r="F71" s="121"/>
      <c r="G71" s="10">
        <v>20.9</v>
      </c>
      <c r="H71" s="66">
        <f>+G71/(C71-C70)</f>
        <v>2.322222222222222</v>
      </c>
      <c r="I71" s="26" t="s">
        <v>196</v>
      </c>
      <c r="J71" s="21"/>
      <c r="K71" s="21"/>
    </row>
    <row r="72" spans="1:11" ht="15" customHeight="1">
      <c r="A72" s="9"/>
      <c r="B72" s="3">
        <v>45903</v>
      </c>
      <c r="C72" s="4">
        <v>15491</v>
      </c>
      <c r="D72" s="111"/>
      <c r="E72" s="111"/>
      <c r="F72" s="121"/>
      <c r="G72" s="10">
        <v>129.71</v>
      </c>
      <c r="H72" s="66">
        <f>+G72/(C72-C70)</f>
        <v>7.6300000000000008</v>
      </c>
      <c r="I72" s="26" t="s">
        <v>99</v>
      </c>
      <c r="J72" s="21"/>
      <c r="K72" s="21"/>
    </row>
    <row r="73" spans="1:11" ht="15" customHeight="1">
      <c r="A73" s="9"/>
      <c r="B73" s="3">
        <v>45904</v>
      </c>
      <c r="C73" s="4">
        <v>15502</v>
      </c>
      <c r="D73" s="111"/>
      <c r="E73" s="111"/>
      <c r="F73" s="121"/>
      <c r="G73" s="10">
        <v>56.32</v>
      </c>
      <c r="H73" s="66"/>
      <c r="I73" s="26" t="s">
        <v>196</v>
      </c>
    </row>
    <row r="74" spans="1:11" ht="15" customHeight="1">
      <c r="A74" s="9"/>
      <c r="B74" s="3">
        <v>45905</v>
      </c>
      <c r="C74" s="4">
        <v>15512</v>
      </c>
      <c r="D74" s="111"/>
      <c r="E74" s="111"/>
      <c r="F74" s="121"/>
      <c r="G74" s="10">
        <v>126.13</v>
      </c>
      <c r="H74" s="66">
        <f>+G74/(C74-C72)</f>
        <v>6.0061904761904756</v>
      </c>
      <c r="I74" s="26" t="s">
        <v>99</v>
      </c>
    </row>
    <row r="75" spans="1:11" ht="15" customHeight="1">
      <c r="A75" s="9"/>
      <c r="B75" s="3"/>
      <c r="C75" s="111">
        <f>+C74-C72</f>
        <v>21</v>
      </c>
      <c r="D75" s="4"/>
      <c r="E75" s="4"/>
      <c r="F75" s="5"/>
      <c r="G75" s="35">
        <f>+G74+G73</f>
        <v>182.45</v>
      </c>
      <c r="H75" s="66">
        <f>+G75/C75</f>
        <v>8.6880952380952383</v>
      </c>
      <c r="I75" s="36" t="s">
        <v>90</v>
      </c>
    </row>
    <row r="76" spans="1:11" ht="15" customHeight="1">
      <c r="A76" s="9"/>
      <c r="B76" s="3">
        <v>45906</v>
      </c>
      <c r="C76" s="4">
        <v>15528</v>
      </c>
      <c r="D76" s="4"/>
      <c r="E76" s="4"/>
      <c r="F76" s="5"/>
      <c r="G76" s="10">
        <v>124.28</v>
      </c>
      <c r="H76" s="66"/>
      <c r="I76" s="26" t="s">
        <v>196</v>
      </c>
      <c r="J76" s="21"/>
      <c r="K76" s="21"/>
    </row>
    <row r="77" spans="1:11" ht="15" customHeight="1">
      <c r="A77" s="9"/>
      <c r="B77" s="3">
        <v>45907</v>
      </c>
      <c r="C77" s="4">
        <v>15542</v>
      </c>
      <c r="D77" s="4"/>
      <c r="E77" s="4"/>
      <c r="F77" s="5"/>
      <c r="G77" s="10">
        <v>116</v>
      </c>
      <c r="H77" s="66">
        <f>+G77/(C77-C76)</f>
        <v>8.2857142857142865</v>
      </c>
      <c r="I77" s="26" t="s">
        <v>99</v>
      </c>
      <c r="J77" s="21"/>
      <c r="K77" s="21"/>
    </row>
    <row r="78" spans="1:11" ht="15" customHeight="1">
      <c r="A78" s="9"/>
      <c r="B78" s="3"/>
      <c r="C78" s="111">
        <f>+C77-C74</f>
        <v>30</v>
      </c>
      <c r="D78" s="4"/>
      <c r="E78" s="4"/>
      <c r="F78" s="5"/>
      <c r="G78" s="35">
        <f>+G77+G76</f>
        <v>240.28</v>
      </c>
      <c r="H78" s="66">
        <f>+G78/C78</f>
        <v>8.0093333333333341</v>
      </c>
      <c r="I78" s="36" t="s">
        <v>90</v>
      </c>
      <c r="J78" s="21"/>
      <c r="K78" s="21"/>
    </row>
    <row r="79" spans="1:11" ht="15" customHeight="1">
      <c r="A79" s="9"/>
      <c r="B79" s="3">
        <v>45909</v>
      </c>
      <c r="C79" s="4">
        <v>15552</v>
      </c>
      <c r="D79" s="4"/>
      <c r="E79" s="4"/>
      <c r="F79" s="5"/>
      <c r="G79" s="10">
        <v>79</v>
      </c>
      <c r="H79" s="66">
        <f>+G79/(C79-C77)</f>
        <v>7.9</v>
      </c>
      <c r="I79" s="26" t="s">
        <v>99</v>
      </c>
      <c r="J79" s="21">
        <v>418.77</v>
      </c>
      <c r="K79" s="21"/>
    </row>
    <row r="80" spans="1:11" ht="15" customHeight="1">
      <c r="A80" s="9"/>
      <c r="B80" s="3">
        <v>45910</v>
      </c>
      <c r="C80" s="4">
        <v>15562</v>
      </c>
      <c r="D80" s="4"/>
      <c r="E80" s="4"/>
      <c r="F80" s="5"/>
      <c r="G80" s="10">
        <v>81</v>
      </c>
      <c r="H80" s="66">
        <f>+G80/(C80-C79)</f>
        <v>8.1</v>
      </c>
      <c r="I80" s="26" t="s">
        <v>99</v>
      </c>
      <c r="J80" s="112">
        <v>3.7854117839999999</v>
      </c>
      <c r="K80" s="21" t="s">
        <v>125</v>
      </c>
    </row>
    <row r="81" spans="1:11" ht="15" customHeight="1">
      <c r="A81" s="9"/>
      <c r="B81" s="3">
        <v>45911</v>
      </c>
      <c r="C81" s="4">
        <v>15572</v>
      </c>
      <c r="D81" s="4"/>
      <c r="E81" s="4"/>
      <c r="F81" s="5"/>
      <c r="G81" s="10">
        <v>70</v>
      </c>
      <c r="H81" s="66">
        <f>+G81/(C81-C80)</f>
        <v>7</v>
      </c>
      <c r="I81" s="26" t="s">
        <v>99</v>
      </c>
      <c r="J81" s="21">
        <f>+J79/J80</f>
        <v>110.62733036602181</v>
      </c>
      <c r="K81" s="21"/>
    </row>
    <row r="82" spans="1:11" ht="15" customHeight="1">
      <c r="A82" s="9"/>
      <c r="B82" s="3">
        <v>45912</v>
      </c>
      <c r="C82" s="4">
        <v>15583</v>
      </c>
      <c r="D82" s="4"/>
      <c r="E82" s="4"/>
      <c r="F82" s="5"/>
      <c r="G82" s="10">
        <v>93</v>
      </c>
      <c r="H82" s="66">
        <f>+G82/(C82-C81)</f>
        <v>8.454545454545455</v>
      </c>
      <c r="I82" s="26" t="s">
        <v>99</v>
      </c>
      <c r="J82" s="21"/>
      <c r="K82" s="21"/>
    </row>
    <row r="83" spans="1:11" ht="15" customHeight="1">
      <c r="A83" s="9"/>
      <c r="B83" s="3">
        <v>45913</v>
      </c>
      <c r="C83" s="4">
        <v>15597</v>
      </c>
      <c r="D83" s="4"/>
      <c r="E83" s="4"/>
      <c r="F83" s="5"/>
      <c r="G83" s="10">
        <v>90</v>
      </c>
      <c r="H83" s="66">
        <f t="shared" ref="H83:H84" si="6">+G83/(C83-C82)</f>
        <v>6.4285714285714288</v>
      </c>
      <c r="I83" s="26" t="s">
        <v>196</v>
      </c>
      <c r="J83" s="21"/>
      <c r="K83" s="21"/>
    </row>
    <row r="84" spans="1:11" ht="15" customHeight="1">
      <c r="A84" s="9"/>
      <c r="B84" s="3">
        <v>45915</v>
      </c>
      <c r="C84" s="4">
        <v>15611</v>
      </c>
      <c r="D84" s="4"/>
      <c r="E84" s="4"/>
      <c r="F84" s="5"/>
      <c r="G84" s="10">
        <v>112</v>
      </c>
      <c r="H84" s="66">
        <f t="shared" si="6"/>
        <v>8</v>
      </c>
      <c r="I84" s="26" t="s">
        <v>99</v>
      </c>
      <c r="J84" s="21"/>
      <c r="K84" s="21"/>
    </row>
    <row r="85" spans="1:11" ht="15" customHeight="1">
      <c r="A85" s="9"/>
      <c r="B85" s="3"/>
      <c r="C85" s="4"/>
      <c r="D85" s="4"/>
      <c r="E85" s="4"/>
      <c r="F85" s="5"/>
      <c r="G85" s="10"/>
      <c r="H85" s="66"/>
      <c r="I85" s="6"/>
    </row>
    <row r="86" spans="1:11" ht="15" customHeight="1">
      <c r="A86" s="9"/>
      <c r="B86" s="3"/>
      <c r="C86" s="4"/>
      <c r="D86" s="4"/>
      <c r="E86" s="4"/>
      <c r="F86" s="5"/>
      <c r="G86" s="10"/>
      <c r="H86" s="66"/>
      <c r="I86" s="6"/>
    </row>
    <row r="87" spans="1:11" ht="14.45" customHeight="1">
      <c r="A87" s="146" t="s">
        <v>15</v>
      </c>
      <c r="B87" s="147"/>
      <c r="C87" s="147"/>
      <c r="D87" s="147"/>
      <c r="E87" s="148"/>
      <c r="F87" s="34">
        <f>SUM(F10:F85)</f>
        <v>329</v>
      </c>
      <c r="G87" s="35">
        <f>SUM(G10:G85)</f>
        <v>7132.3638200000005</v>
      </c>
      <c r="H87" s="76"/>
      <c r="I87" s="36" t="s">
        <v>16</v>
      </c>
    </row>
    <row r="90" spans="1:11" hidden="1">
      <c r="A90" s="149" t="s">
        <v>42</v>
      </c>
      <c r="B90" s="149"/>
      <c r="C90" s="149"/>
      <c r="D90" s="149"/>
      <c r="E90" s="149"/>
      <c r="H90" s="54"/>
    </row>
    <row r="91" spans="1:11" ht="6" hidden="1" customHeight="1">
      <c r="A91" s="55"/>
      <c r="B91" s="55"/>
      <c r="C91" s="55"/>
      <c r="D91" s="55"/>
      <c r="H91" s="54"/>
    </row>
    <row r="92" spans="1:11" ht="13.5" hidden="1">
      <c r="A92" s="56" t="s">
        <v>0</v>
      </c>
      <c r="B92" s="150">
        <v>45478</v>
      </c>
      <c r="C92" s="150"/>
      <c r="D92" s="151"/>
      <c r="H92" s="54"/>
    </row>
    <row r="93" spans="1:11" ht="13.5" hidden="1">
      <c r="A93" s="56" t="s">
        <v>41</v>
      </c>
      <c r="B93" s="56" t="e">
        <f>+#REF!</f>
        <v>#REF!</v>
      </c>
      <c r="C93" s="56"/>
      <c r="D93" s="151"/>
      <c r="H93" s="54"/>
    </row>
    <row r="94" spans="1:11" ht="13.5" hidden="1">
      <c r="A94" s="56" t="s">
        <v>8</v>
      </c>
      <c r="B94" s="56" t="str">
        <f>+B4</f>
        <v>TRACTOR KOMATSU D155- AX-6 SERIE 82081</v>
      </c>
      <c r="C94" s="56"/>
      <c r="D94" s="57"/>
      <c r="H94" s="54"/>
    </row>
    <row r="95" spans="1:11" ht="19.5" hidden="1" customHeight="1">
      <c r="A95" s="152" t="s">
        <v>45</v>
      </c>
      <c r="B95" s="152"/>
      <c r="C95" s="153" t="s">
        <v>43</v>
      </c>
      <c r="D95" s="155" t="s">
        <v>44</v>
      </c>
      <c r="E95" s="155" t="s">
        <v>48</v>
      </c>
      <c r="H95" s="54"/>
    </row>
    <row r="96" spans="1:11" ht="13.5" hidden="1" customHeight="1">
      <c r="A96" s="58" t="s">
        <v>46</v>
      </c>
      <c r="B96" s="58" t="s">
        <v>47</v>
      </c>
      <c r="C96" s="154"/>
      <c r="D96" s="156"/>
      <c r="E96" s="156"/>
      <c r="H96" s="54"/>
    </row>
    <row r="97" spans="1:8" ht="15" hidden="1" customHeight="1">
      <c r="A97" s="157">
        <f>+C47</f>
        <v>51</v>
      </c>
      <c r="B97" s="157">
        <f>+C46</f>
        <v>15324</v>
      </c>
      <c r="C97" s="159">
        <f>+A97-B97</f>
        <v>-15273</v>
      </c>
      <c r="D97" s="161">
        <f>+E97/(A97-B97)</f>
        <v>-2.4018856806128461E-2</v>
      </c>
      <c r="E97" s="161">
        <f>+G47</f>
        <v>366.84</v>
      </c>
      <c r="H97" s="54"/>
    </row>
    <row r="98" spans="1:8" hidden="1">
      <c r="A98" s="158"/>
      <c r="B98" s="158"/>
      <c r="C98" s="160"/>
      <c r="D98" s="160"/>
      <c r="E98" s="160"/>
      <c r="H98" s="54"/>
    </row>
    <row r="99" spans="1:8" hidden="1"/>
  </sheetData>
  <mergeCells count="15">
    <mergeCell ref="B2:I2"/>
    <mergeCell ref="A87:E87"/>
    <mergeCell ref="A90:E90"/>
    <mergeCell ref="B92:C92"/>
    <mergeCell ref="D92:D93"/>
    <mergeCell ref="B3:I3"/>
    <mergeCell ref="A95:B95"/>
    <mergeCell ref="C95:C96"/>
    <mergeCell ref="D95:D96"/>
    <mergeCell ref="E95:E96"/>
    <mergeCell ref="A97:A98"/>
    <mergeCell ref="B97:B98"/>
    <mergeCell ref="C97:C98"/>
    <mergeCell ref="D97:D98"/>
    <mergeCell ref="E97:E98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scale="75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L56"/>
  <sheetViews>
    <sheetView showGridLines="0" topLeftCell="A19" zoomScale="120" zoomScaleNormal="120" zoomScaleSheetLayoutView="100" workbookViewId="0">
      <selection activeCell="E39" sqref="E39"/>
    </sheetView>
  </sheetViews>
  <sheetFormatPr baseColWidth="10" defaultColWidth="11.5703125" defaultRowHeight="12.75"/>
  <cols>
    <col min="1" max="1" width="12.7109375" style="1" customWidth="1"/>
    <col min="2" max="2" width="11.140625" style="1" customWidth="1"/>
    <col min="3" max="3" width="13.7109375" style="1" customWidth="1"/>
    <col min="4" max="4" width="11.42578125" style="7" customWidth="1"/>
    <col min="5" max="5" width="12" style="7" customWidth="1"/>
    <col min="6" max="6" width="12.140625" style="1" customWidth="1"/>
    <col min="7" max="7" width="13.42578125" style="7" customWidth="1"/>
    <col min="8" max="8" width="11.7109375" style="86" hidden="1" customWidth="1"/>
    <col min="9" max="9" width="10.7109375" style="86" customWidth="1"/>
    <col min="10" max="10" width="42.7109375" style="1" customWidth="1"/>
    <col min="11" max="16384" width="11.5703125" style="1"/>
  </cols>
  <sheetData>
    <row r="2" spans="1:11" ht="32.450000000000003" customHeight="1">
      <c r="B2" s="145" t="s">
        <v>5</v>
      </c>
      <c r="C2" s="145"/>
      <c r="D2" s="145"/>
      <c r="E2" s="145"/>
      <c r="F2" s="145"/>
      <c r="G2" s="145"/>
      <c r="H2" s="145"/>
      <c r="I2" s="145"/>
      <c r="J2" s="145"/>
    </row>
    <row r="3" spans="1:11" ht="25.5" customHeight="1">
      <c r="A3" s="2" t="s">
        <v>11</v>
      </c>
      <c r="B3" s="162" t="s">
        <v>62</v>
      </c>
      <c r="C3" s="162"/>
      <c r="D3" s="162"/>
      <c r="E3" s="162"/>
      <c r="F3" s="162"/>
      <c r="G3" s="162"/>
      <c r="H3" s="162"/>
      <c r="I3" s="162"/>
      <c r="J3" s="162"/>
    </row>
    <row r="4" spans="1:11">
      <c r="A4" s="2" t="s">
        <v>8</v>
      </c>
      <c r="B4" s="1" t="s">
        <v>102</v>
      </c>
      <c r="D4" s="1"/>
      <c r="E4" s="1"/>
      <c r="G4" s="1"/>
      <c r="H4" s="1"/>
      <c r="I4" s="1"/>
    </row>
    <row r="5" spans="1:11">
      <c r="A5" s="2" t="s">
        <v>9</v>
      </c>
      <c r="B5" s="1" t="s">
        <v>60</v>
      </c>
      <c r="D5" s="1"/>
      <c r="E5" s="1"/>
      <c r="G5" s="1"/>
      <c r="H5" s="1"/>
      <c r="I5" s="1"/>
      <c r="K5" s="1">
        <f>+K6*2</f>
        <v>34.520000000000003</v>
      </c>
    </row>
    <row r="6" spans="1:11">
      <c r="A6" s="2"/>
      <c r="B6" s="1" t="s">
        <v>94</v>
      </c>
      <c r="D6" s="1"/>
      <c r="E6" s="1"/>
      <c r="G6" s="1"/>
      <c r="H6" s="1"/>
      <c r="I6" s="1"/>
      <c r="K6" s="1">
        <f>51.78/3</f>
        <v>17.260000000000002</v>
      </c>
    </row>
    <row r="7" spans="1:11">
      <c r="A7" s="2" t="s">
        <v>10</v>
      </c>
      <c r="B7" s="1" t="s">
        <v>63</v>
      </c>
      <c r="D7" s="1"/>
      <c r="E7" s="1"/>
      <c r="G7" s="37"/>
      <c r="H7" s="1"/>
      <c r="I7" s="1"/>
      <c r="K7" s="88">
        <f>52-G13</f>
        <v>-52</v>
      </c>
    </row>
    <row r="9" spans="1:11" s="13" customFormat="1" ht="28.5" customHeight="1">
      <c r="A9" s="12" t="s">
        <v>13</v>
      </c>
      <c r="B9" s="12" t="s">
        <v>0</v>
      </c>
      <c r="C9" s="12" t="s">
        <v>14</v>
      </c>
      <c r="D9" s="12" t="s">
        <v>6</v>
      </c>
      <c r="E9" s="12" t="s">
        <v>7</v>
      </c>
      <c r="F9" s="12" t="s">
        <v>3</v>
      </c>
      <c r="G9" s="12" t="s">
        <v>1</v>
      </c>
      <c r="H9" s="12" t="s">
        <v>4</v>
      </c>
      <c r="I9" s="75" t="s">
        <v>37</v>
      </c>
      <c r="J9" s="12" t="s">
        <v>2</v>
      </c>
    </row>
    <row r="10" spans="1:11" s="21" customFormat="1" ht="15" customHeight="1">
      <c r="A10" s="14"/>
      <c r="B10" s="15">
        <v>45845</v>
      </c>
      <c r="C10" s="16">
        <v>11652</v>
      </c>
      <c r="D10" s="16">
        <v>11652</v>
      </c>
      <c r="E10" s="16">
        <v>11654</v>
      </c>
      <c r="F10" s="17">
        <f>IF(D10="","",E10-D10)</f>
        <v>2</v>
      </c>
      <c r="G10" s="18"/>
      <c r="H10" s="49" t="str">
        <f>IF(G10="","",ROUND(G10/F10,2))</f>
        <v/>
      </c>
      <c r="I10" s="65"/>
      <c r="J10" s="20" t="s">
        <v>58</v>
      </c>
      <c r="K10" s="33"/>
    </row>
    <row r="11" spans="1:11" s="21" customFormat="1" ht="15" customHeight="1">
      <c r="A11" s="14"/>
      <c r="B11" s="15">
        <v>45846</v>
      </c>
      <c r="C11" s="16"/>
      <c r="D11" s="16">
        <f>+E10</f>
        <v>11654</v>
      </c>
      <c r="E11" s="16">
        <v>11664</v>
      </c>
      <c r="F11" s="17">
        <f>IF(D11="","",E11-D11)</f>
        <v>10</v>
      </c>
      <c r="G11" s="28"/>
      <c r="H11" s="49" t="str">
        <f>IF(G11="","",ROUND(G11/F11,2))</f>
        <v/>
      </c>
      <c r="I11" s="66">
        <f>+G11/(C11-C10)</f>
        <v>0</v>
      </c>
      <c r="J11" s="26"/>
    </row>
    <row r="12" spans="1:11" s="32" customFormat="1" ht="15" customHeight="1">
      <c r="A12" s="14"/>
      <c r="B12" s="15">
        <v>45847</v>
      </c>
      <c r="C12" s="29"/>
      <c r="D12" s="29">
        <f>+E11</f>
        <v>11664</v>
      </c>
      <c r="E12" s="29">
        <v>11674</v>
      </c>
      <c r="F12" s="17">
        <f>IF(D12="","",E12-D12)</f>
        <v>10</v>
      </c>
      <c r="G12" s="28"/>
      <c r="H12" s="49"/>
      <c r="I12" s="66"/>
      <c r="J12" s="31"/>
      <c r="K12" s="32">
        <f>+C12-D12</f>
        <v>-11664</v>
      </c>
    </row>
    <row r="13" spans="1:11" s="32" customFormat="1" ht="15" customHeight="1">
      <c r="A13" s="14"/>
      <c r="B13" s="15">
        <v>45848</v>
      </c>
      <c r="C13" s="29">
        <v>11674</v>
      </c>
      <c r="D13" s="29">
        <v>11674</v>
      </c>
      <c r="E13" s="29">
        <v>11684</v>
      </c>
      <c r="F13" s="30">
        <f>+E13-D13</f>
        <v>10</v>
      </c>
      <c r="G13" s="28">
        <v>104</v>
      </c>
      <c r="H13" s="23"/>
      <c r="I13" s="66"/>
      <c r="J13" s="31" t="s">
        <v>81</v>
      </c>
    </row>
    <row r="14" spans="1:11" s="21" customFormat="1" ht="15" customHeight="1">
      <c r="A14" s="14"/>
      <c r="B14" s="15">
        <v>45849</v>
      </c>
      <c r="C14" s="118">
        <v>11679</v>
      </c>
      <c r="D14" s="16">
        <v>11684</v>
      </c>
      <c r="E14" s="16">
        <v>11691</v>
      </c>
      <c r="F14" s="30">
        <f>+E14-D14</f>
        <v>7</v>
      </c>
      <c r="G14" s="28">
        <v>34.520000000000003</v>
      </c>
      <c r="H14" s="23"/>
      <c r="I14" s="66"/>
      <c r="J14" s="26" t="s">
        <v>88</v>
      </c>
    </row>
    <row r="15" spans="1:11" s="21" customFormat="1" ht="15" customHeight="1">
      <c r="A15" s="14"/>
      <c r="B15" s="15">
        <v>45850</v>
      </c>
      <c r="C15" s="16"/>
      <c r="D15" s="16"/>
      <c r="E15" s="16"/>
      <c r="F15" s="17"/>
      <c r="G15" s="18"/>
      <c r="H15" s="23"/>
      <c r="I15" s="66"/>
      <c r="J15" s="26" t="s">
        <v>95</v>
      </c>
    </row>
    <row r="16" spans="1:11" s="21" customFormat="1" ht="15" customHeight="1">
      <c r="A16" s="14" t="s">
        <v>113</v>
      </c>
      <c r="B16" s="15">
        <v>45852</v>
      </c>
      <c r="C16" s="16">
        <f>+E14</f>
        <v>11691</v>
      </c>
      <c r="D16" s="16">
        <f>+E14</f>
        <v>11691</v>
      </c>
      <c r="E16" s="16">
        <v>11695</v>
      </c>
      <c r="F16" s="30">
        <f>+E16-D16</f>
        <v>4</v>
      </c>
      <c r="G16" s="18">
        <v>106.33331</v>
      </c>
      <c r="H16" s="49"/>
      <c r="I16" s="66"/>
      <c r="J16" s="26" t="s">
        <v>80</v>
      </c>
    </row>
    <row r="17" spans="1:12" s="21" customFormat="1" ht="15" customHeight="1">
      <c r="A17" s="14" t="s">
        <v>114</v>
      </c>
      <c r="B17" s="15">
        <v>45853</v>
      </c>
      <c r="C17" s="16">
        <v>11701</v>
      </c>
      <c r="D17" s="16">
        <f>+E16</f>
        <v>11695</v>
      </c>
      <c r="E17" s="16">
        <v>11704</v>
      </c>
      <c r="F17" s="30">
        <f>+E17-D17</f>
        <v>9</v>
      </c>
      <c r="G17" s="18">
        <v>120</v>
      </c>
      <c r="H17" s="49"/>
      <c r="I17" s="66"/>
      <c r="J17" s="26" t="s">
        <v>58</v>
      </c>
    </row>
    <row r="18" spans="1:12" s="21" customFormat="1" ht="15" customHeight="1">
      <c r="A18" s="14"/>
      <c r="B18" s="15"/>
      <c r="C18" s="99">
        <f>+C17-C10</f>
        <v>49</v>
      </c>
      <c r="D18" s="99"/>
      <c r="E18" s="99"/>
      <c r="F18" s="105"/>
      <c r="G18" s="106">
        <f>+G17+G16+G14+G13</f>
        <v>364.85330999999996</v>
      </c>
      <c r="H18" s="49"/>
      <c r="I18" s="66">
        <f>+G18/C18</f>
        <v>7.445985918367346</v>
      </c>
      <c r="J18" s="102" t="s">
        <v>90</v>
      </c>
    </row>
    <row r="19" spans="1:12" s="74" customFormat="1" ht="15" customHeight="1">
      <c r="A19" s="67" t="s">
        <v>116</v>
      </c>
      <c r="B19" s="68">
        <v>45854</v>
      </c>
      <c r="C19" s="69"/>
      <c r="D19" s="69">
        <f>+E17</f>
        <v>11704</v>
      </c>
      <c r="E19" s="69">
        <v>11709</v>
      </c>
      <c r="F19" s="70">
        <f>+E19-D19</f>
        <v>5</v>
      </c>
      <c r="G19" s="71"/>
      <c r="H19" s="72"/>
      <c r="I19" s="66"/>
      <c r="J19" s="73"/>
    </row>
    <row r="20" spans="1:12" s="21" customFormat="1" ht="15" customHeight="1">
      <c r="A20" s="14" t="s">
        <v>117</v>
      </c>
      <c r="B20" s="15">
        <v>45855</v>
      </c>
      <c r="C20" s="16"/>
      <c r="D20" s="16">
        <f>+E19</f>
        <v>11709</v>
      </c>
      <c r="E20" s="16">
        <v>11717</v>
      </c>
      <c r="F20" s="70">
        <f t="shared" ref="F20:F39" si="0">+E20-D20</f>
        <v>8</v>
      </c>
      <c r="G20" s="18"/>
      <c r="H20" s="49"/>
      <c r="I20" s="66"/>
      <c r="J20" s="26"/>
    </row>
    <row r="21" spans="1:12" s="21" customFormat="1" ht="15" customHeight="1">
      <c r="A21" s="14" t="s">
        <v>118</v>
      </c>
      <c r="B21" s="15">
        <v>45856</v>
      </c>
      <c r="C21" s="16">
        <v>11717</v>
      </c>
      <c r="D21" s="16">
        <f>+E20</f>
        <v>11717</v>
      </c>
      <c r="E21" s="16">
        <v>11717</v>
      </c>
      <c r="F21" s="70">
        <f t="shared" si="0"/>
        <v>0</v>
      </c>
      <c r="G21" s="18">
        <v>40.122</v>
      </c>
      <c r="H21" s="49"/>
      <c r="I21" s="66"/>
      <c r="J21" s="26" t="s">
        <v>105</v>
      </c>
    </row>
    <row r="22" spans="1:12" s="21" customFormat="1" ht="15" customHeight="1">
      <c r="A22" s="14" t="s">
        <v>119</v>
      </c>
      <c r="B22" s="15">
        <v>45857</v>
      </c>
      <c r="C22" s="16"/>
      <c r="D22" s="16">
        <f>+E21</f>
        <v>11717</v>
      </c>
      <c r="E22" s="16">
        <v>11721</v>
      </c>
      <c r="F22" s="70">
        <f t="shared" si="0"/>
        <v>4</v>
      </c>
      <c r="G22" s="18"/>
      <c r="H22" s="49"/>
      <c r="I22" s="66"/>
      <c r="J22" s="26"/>
    </row>
    <row r="23" spans="1:12" ht="15" customHeight="1">
      <c r="A23" s="9" t="s">
        <v>204</v>
      </c>
      <c r="B23" s="15">
        <v>45859</v>
      </c>
      <c r="C23" s="16">
        <v>11723</v>
      </c>
      <c r="D23" s="4">
        <f>+E22</f>
        <v>11721</v>
      </c>
      <c r="E23" s="4">
        <v>11726</v>
      </c>
      <c r="F23" s="70">
        <f t="shared" si="0"/>
        <v>5</v>
      </c>
      <c r="G23" s="10">
        <v>127.46</v>
      </c>
      <c r="H23" s="49"/>
      <c r="I23" s="66"/>
      <c r="J23" s="26" t="s">
        <v>58</v>
      </c>
    </row>
    <row r="24" spans="1:12" ht="15" customHeight="1">
      <c r="A24" s="9"/>
      <c r="B24" s="15"/>
      <c r="C24" s="111">
        <f>+C23-C17</f>
        <v>22</v>
      </c>
      <c r="D24" s="111"/>
      <c r="E24" s="111"/>
      <c r="F24" s="70">
        <f t="shared" si="0"/>
        <v>0</v>
      </c>
      <c r="G24" s="35">
        <f>SUM(G19:G23)</f>
        <v>167.58199999999999</v>
      </c>
      <c r="H24" s="49"/>
      <c r="I24" s="66">
        <f>+G24/C24</f>
        <v>7.6173636363636357</v>
      </c>
      <c r="J24" s="102" t="s">
        <v>90</v>
      </c>
    </row>
    <row r="25" spans="1:12" ht="15" customHeight="1">
      <c r="A25" s="9" t="s">
        <v>205</v>
      </c>
      <c r="B25" s="15">
        <v>45860</v>
      </c>
      <c r="C25" s="4">
        <v>11732</v>
      </c>
      <c r="D25" s="4">
        <f>+E23</f>
        <v>11726</v>
      </c>
      <c r="E25" s="4">
        <v>11731</v>
      </c>
      <c r="F25" s="70">
        <f t="shared" si="0"/>
        <v>5</v>
      </c>
      <c r="G25" s="10">
        <v>70</v>
      </c>
      <c r="H25" s="49"/>
      <c r="I25" s="66">
        <f>+G25/(C25-C23)</f>
        <v>7.7777777777777777</v>
      </c>
      <c r="J25" s="26" t="s">
        <v>58</v>
      </c>
      <c r="K25" s="1">
        <v>352.63</v>
      </c>
    </row>
    <row r="26" spans="1:12" ht="15" customHeight="1">
      <c r="A26" s="9" t="s">
        <v>207</v>
      </c>
      <c r="B26" s="15">
        <v>45860</v>
      </c>
      <c r="C26" s="4"/>
      <c r="D26" s="4">
        <f t="shared" ref="D26:D32" si="1">+E25</f>
        <v>11731</v>
      </c>
      <c r="E26" s="4">
        <v>11738</v>
      </c>
      <c r="F26" s="70">
        <f t="shared" si="0"/>
        <v>7</v>
      </c>
      <c r="G26" s="10"/>
      <c r="H26" s="49"/>
      <c r="I26" s="66"/>
      <c r="J26" s="26" t="s">
        <v>208</v>
      </c>
    </row>
    <row r="27" spans="1:12" ht="15" customHeight="1">
      <c r="A27" s="9" t="s">
        <v>231</v>
      </c>
      <c r="B27" s="15">
        <v>45861</v>
      </c>
      <c r="C27" s="4">
        <v>11745</v>
      </c>
      <c r="D27" s="4">
        <f t="shared" si="1"/>
        <v>11738</v>
      </c>
      <c r="E27" s="4">
        <v>11746</v>
      </c>
      <c r="F27" s="70">
        <f t="shared" si="0"/>
        <v>8</v>
      </c>
      <c r="G27" s="10">
        <v>89</v>
      </c>
      <c r="H27" s="49"/>
      <c r="I27" s="66"/>
      <c r="J27" s="6" t="s">
        <v>209</v>
      </c>
      <c r="K27" s="112">
        <v>3.7854117839999999</v>
      </c>
      <c r="L27" s="1" t="s">
        <v>125</v>
      </c>
    </row>
    <row r="28" spans="1:12" ht="15" customHeight="1">
      <c r="A28" s="9" t="s">
        <v>230</v>
      </c>
      <c r="B28" s="15">
        <v>45861</v>
      </c>
      <c r="C28" s="4"/>
      <c r="D28" s="4">
        <f t="shared" si="1"/>
        <v>11746</v>
      </c>
      <c r="E28" s="4">
        <v>11753</v>
      </c>
      <c r="F28" s="70">
        <f t="shared" si="0"/>
        <v>7</v>
      </c>
      <c r="G28" s="10"/>
      <c r="H28" s="49"/>
      <c r="I28" s="66"/>
      <c r="J28" s="26" t="s">
        <v>208</v>
      </c>
      <c r="K28" s="112"/>
    </row>
    <row r="29" spans="1:12" ht="15" customHeight="1">
      <c r="A29" s="9" t="s">
        <v>229</v>
      </c>
      <c r="B29" s="15">
        <v>45862</v>
      </c>
      <c r="C29" s="4">
        <v>11758</v>
      </c>
      <c r="D29" s="4">
        <f t="shared" si="1"/>
        <v>11753</v>
      </c>
      <c r="E29" s="4">
        <v>11762</v>
      </c>
      <c r="F29" s="5">
        <f t="shared" si="0"/>
        <v>9</v>
      </c>
      <c r="G29" s="10">
        <v>107.92</v>
      </c>
      <c r="H29" s="49"/>
      <c r="I29" s="66"/>
      <c r="J29" s="6"/>
      <c r="K29" s="1">
        <f>+K25/K27</f>
        <v>93.154990823053879</v>
      </c>
    </row>
    <row r="30" spans="1:12" ht="15" customHeight="1">
      <c r="A30" s="9" t="s">
        <v>228</v>
      </c>
      <c r="B30" s="15">
        <v>45862</v>
      </c>
      <c r="C30" s="4"/>
      <c r="D30" s="4">
        <f t="shared" si="1"/>
        <v>11762</v>
      </c>
      <c r="E30" s="4">
        <v>11769</v>
      </c>
      <c r="F30" s="5">
        <f t="shared" si="0"/>
        <v>7</v>
      </c>
      <c r="G30" s="10"/>
      <c r="H30" s="49"/>
      <c r="I30" s="66"/>
      <c r="J30" s="26" t="s">
        <v>208</v>
      </c>
    </row>
    <row r="31" spans="1:12" ht="15" customHeight="1">
      <c r="A31" s="9" t="s">
        <v>227</v>
      </c>
      <c r="B31" s="15">
        <v>45863</v>
      </c>
      <c r="C31" s="4">
        <v>11773</v>
      </c>
      <c r="D31" s="4">
        <f t="shared" si="1"/>
        <v>11769</v>
      </c>
      <c r="E31" s="4">
        <v>11776</v>
      </c>
      <c r="F31" s="5">
        <f t="shared" si="0"/>
        <v>7</v>
      </c>
      <c r="G31" s="10">
        <v>111.23</v>
      </c>
      <c r="H31" s="11"/>
      <c r="I31" s="66"/>
      <c r="J31" s="6" t="s">
        <v>58</v>
      </c>
    </row>
    <row r="32" spans="1:12" ht="15" customHeight="1">
      <c r="A32" s="9" t="s">
        <v>226</v>
      </c>
      <c r="B32" s="15">
        <v>45863</v>
      </c>
      <c r="C32" s="4"/>
      <c r="D32" s="4">
        <f t="shared" si="1"/>
        <v>11776</v>
      </c>
      <c r="E32" s="4">
        <v>11784</v>
      </c>
      <c r="F32" s="5">
        <f t="shared" si="0"/>
        <v>8</v>
      </c>
      <c r="G32" s="10"/>
      <c r="H32" s="11"/>
      <c r="I32" s="66"/>
      <c r="J32" s="6"/>
    </row>
    <row r="33" spans="1:10" ht="15" customHeight="1">
      <c r="A33" s="9"/>
      <c r="B33" s="15"/>
      <c r="C33" s="111">
        <f>+C31-C25</f>
        <v>41</v>
      </c>
      <c r="D33" s="111"/>
      <c r="E33" s="111"/>
      <c r="F33" s="5"/>
      <c r="G33" s="35">
        <f>+G31+G29+G27</f>
        <v>308.14999999999998</v>
      </c>
      <c r="H33" s="11"/>
      <c r="I33" s="66">
        <f>+G33/C33</f>
        <v>7.5158536585365852</v>
      </c>
      <c r="J33" s="36" t="s">
        <v>90</v>
      </c>
    </row>
    <row r="34" spans="1:10" ht="15" customHeight="1">
      <c r="A34" s="9" t="s">
        <v>225</v>
      </c>
      <c r="B34" s="15">
        <v>45864</v>
      </c>
      <c r="C34" s="4">
        <v>11784</v>
      </c>
      <c r="D34" s="4">
        <f>+E32</f>
        <v>11784</v>
      </c>
      <c r="E34" s="4">
        <v>11794</v>
      </c>
      <c r="F34" s="5">
        <f t="shared" si="0"/>
        <v>10</v>
      </c>
      <c r="G34" s="10">
        <v>93.16</v>
      </c>
      <c r="H34" s="11"/>
      <c r="I34" s="66">
        <f>+G34/(C34-C31)</f>
        <v>8.4690909090909088</v>
      </c>
      <c r="J34" s="6" t="s">
        <v>132</v>
      </c>
    </row>
    <row r="35" spans="1:10" ht="15" customHeight="1">
      <c r="A35" s="9" t="s">
        <v>215</v>
      </c>
      <c r="B35" s="3">
        <v>45868</v>
      </c>
      <c r="C35" s="4">
        <v>11797</v>
      </c>
      <c r="D35" s="4">
        <f>+E34</f>
        <v>11794</v>
      </c>
      <c r="E35" s="4">
        <v>11799</v>
      </c>
      <c r="F35" s="5">
        <f t="shared" si="0"/>
        <v>5</v>
      </c>
      <c r="G35" s="10">
        <v>103.4</v>
      </c>
      <c r="H35" s="11"/>
      <c r="I35" s="66">
        <f>+G35/(C35-C34)</f>
        <v>7.953846153846154</v>
      </c>
      <c r="J35" s="6" t="s">
        <v>216</v>
      </c>
    </row>
    <row r="36" spans="1:10" ht="15" customHeight="1">
      <c r="A36" s="9" t="s">
        <v>217</v>
      </c>
      <c r="B36" s="3">
        <v>45869</v>
      </c>
      <c r="C36" s="4"/>
      <c r="D36" s="4">
        <f>+E35</f>
        <v>11799</v>
      </c>
      <c r="E36" s="4">
        <v>11807</v>
      </c>
      <c r="F36" s="5">
        <f t="shared" si="0"/>
        <v>8</v>
      </c>
      <c r="G36" s="10"/>
      <c r="H36" s="11"/>
      <c r="I36" s="66"/>
      <c r="J36" s="6" t="s">
        <v>216</v>
      </c>
    </row>
    <row r="37" spans="1:10" ht="15" customHeight="1">
      <c r="A37" s="9"/>
      <c r="B37" s="3">
        <v>45870</v>
      </c>
      <c r="C37" s="4"/>
      <c r="D37" s="4">
        <f>+E36</f>
        <v>11807</v>
      </c>
      <c r="E37" s="4">
        <v>11810</v>
      </c>
      <c r="F37" s="5">
        <f t="shared" si="0"/>
        <v>3</v>
      </c>
      <c r="G37" s="10"/>
      <c r="H37" s="11"/>
      <c r="I37" s="66"/>
      <c r="J37" s="6"/>
    </row>
    <row r="38" spans="1:10" ht="15" customHeight="1">
      <c r="A38" s="9" t="s">
        <v>212</v>
      </c>
      <c r="B38" s="3">
        <v>45871</v>
      </c>
      <c r="C38" s="4">
        <v>11810</v>
      </c>
      <c r="D38" s="4">
        <f>+E37</f>
        <v>11810</v>
      </c>
      <c r="E38" s="4">
        <v>11817</v>
      </c>
      <c r="F38" s="5">
        <f t="shared" si="0"/>
        <v>7</v>
      </c>
      <c r="G38" s="10">
        <v>108.8</v>
      </c>
      <c r="H38" s="11"/>
      <c r="I38" s="66">
        <f>+G38/(C38-C35)</f>
        <v>8.3692307692307697</v>
      </c>
      <c r="J38" s="6" t="s">
        <v>210</v>
      </c>
    </row>
    <row r="39" spans="1:10" ht="15" customHeight="1">
      <c r="A39" s="9" t="s">
        <v>211</v>
      </c>
      <c r="B39" s="3">
        <v>45872</v>
      </c>
      <c r="C39" s="4">
        <v>11817</v>
      </c>
      <c r="D39" s="4">
        <f>+E38</f>
        <v>11817</v>
      </c>
      <c r="E39" s="4">
        <v>11819</v>
      </c>
      <c r="F39" s="5">
        <f t="shared" si="0"/>
        <v>2</v>
      </c>
      <c r="G39" s="10">
        <v>47.59</v>
      </c>
      <c r="H39" s="11"/>
      <c r="I39" s="66">
        <f>+G39/(C39-C38)</f>
        <v>6.7985714285714289</v>
      </c>
      <c r="J39" s="6" t="s">
        <v>210</v>
      </c>
    </row>
    <row r="40" spans="1:10" ht="15" customHeight="1">
      <c r="A40" s="9"/>
      <c r="B40" s="3"/>
      <c r="C40" s="4"/>
      <c r="D40" s="4"/>
      <c r="E40" s="4"/>
      <c r="F40" s="5"/>
      <c r="G40" s="10"/>
      <c r="H40" s="11"/>
      <c r="I40" s="66"/>
      <c r="J40" s="6" t="s">
        <v>224</v>
      </c>
    </row>
    <row r="41" spans="1:10" ht="15" customHeight="1">
      <c r="A41" s="9"/>
      <c r="B41" s="3">
        <v>45877</v>
      </c>
      <c r="C41" s="4">
        <v>11819</v>
      </c>
      <c r="D41" s="4"/>
      <c r="E41" s="4"/>
      <c r="F41" s="5"/>
      <c r="G41" s="10">
        <v>-71.400000000000006</v>
      </c>
      <c r="H41" s="11"/>
      <c r="I41" s="66"/>
      <c r="J41" s="6" t="s">
        <v>245</v>
      </c>
    </row>
    <row r="42" spans="1:10" ht="15" customHeight="1">
      <c r="A42" s="9"/>
      <c r="B42" s="3"/>
      <c r="C42" s="4"/>
      <c r="D42" s="4"/>
      <c r="E42" s="4"/>
      <c r="F42" s="5"/>
      <c r="G42" s="10"/>
      <c r="H42" s="11"/>
      <c r="I42" s="66"/>
      <c r="J42" s="6"/>
    </row>
    <row r="43" spans="1:10" ht="15" customHeight="1">
      <c r="A43" s="9"/>
      <c r="B43" s="3"/>
      <c r="C43" s="4"/>
      <c r="D43" s="4"/>
      <c r="E43" s="4"/>
      <c r="F43" s="5"/>
      <c r="G43" s="10"/>
      <c r="H43" s="11"/>
      <c r="I43" s="66"/>
      <c r="J43" s="6"/>
    </row>
    <row r="44" spans="1:10" ht="15" customHeight="1">
      <c r="A44" s="9"/>
      <c r="B44" s="3"/>
      <c r="C44" s="4"/>
      <c r="D44" s="4"/>
      <c r="E44" s="4"/>
      <c r="F44" s="5"/>
      <c r="G44" s="10"/>
      <c r="H44" s="11"/>
      <c r="I44" s="66"/>
      <c r="J44" s="6"/>
    </row>
    <row r="45" spans="1:10" ht="15" customHeight="1">
      <c r="A45" s="9"/>
      <c r="B45" s="3"/>
      <c r="C45" s="4"/>
      <c r="D45" s="4"/>
      <c r="E45" s="4"/>
      <c r="F45" s="5"/>
      <c r="G45" s="10"/>
      <c r="H45" s="11"/>
      <c r="I45" s="66"/>
      <c r="J45" s="6"/>
    </row>
    <row r="46" spans="1:10" ht="14.45" customHeight="1">
      <c r="A46" s="146" t="s">
        <v>15</v>
      </c>
      <c r="B46" s="147"/>
      <c r="C46" s="147"/>
      <c r="D46" s="147"/>
      <c r="E46" s="148"/>
      <c r="F46" s="34">
        <f>SUM(F10:F45)</f>
        <v>167</v>
      </c>
      <c r="G46" s="35">
        <f>SUM(G10:G45)</f>
        <v>2032.7206200000001</v>
      </c>
      <c r="H46" s="11">
        <f>IF(G46="","",ROUND(G46/F46,2))</f>
        <v>12.17</v>
      </c>
      <c r="I46" s="11"/>
      <c r="J46" s="36" t="s">
        <v>16</v>
      </c>
    </row>
    <row r="48" spans="1:10" hidden="1">
      <c r="A48" s="149" t="s">
        <v>42</v>
      </c>
      <c r="B48" s="149"/>
      <c r="C48" s="149"/>
      <c r="D48" s="149"/>
      <c r="E48" s="149"/>
    </row>
    <row r="49" spans="1:5" ht="6" hidden="1" customHeight="1">
      <c r="A49" s="87"/>
      <c r="B49" s="87"/>
      <c r="C49" s="87"/>
      <c r="D49" s="87"/>
    </row>
    <row r="50" spans="1:5" ht="13.5" hidden="1">
      <c r="A50" s="56" t="s">
        <v>0</v>
      </c>
      <c r="B50" s="150">
        <v>45478</v>
      </c>
      <c r="C50" s="150"/>
      <c r="D50" s="151"/>
    </row>
    <row r="51" spans="1:5" ht="13.5" hidden="1">
      <c r="A51" s="56" t="s">
        <v>41</v>
      </c>
      <c r="B51" s="56" t="str">
        <f>+B5</f>
        <v xml:space="preserve">CESAR CALDERON </v>
      </c>
      <c r="C51" s="56"/>
      <c r="D51" s="151"/>
    </row>
    <row r="52" spans="1:5" ht="13.5" hidden="1">
      <c r="A52" s="56" t="s">
        <v>8</v>
      </c>
      <c r="B52" s="56" t="s">
        <v>38</v>
      </c>
      <c r="C52" s="56"/>
      <c r="D52" s="57"/>
    </row>
    <row r="53" spans="1:5" ht="19.5" hidden="1" customHeight="1">
      <c r="A53" s="152" t="s">
        <v>45</v>
      </c>
      <c r="B53" s="152"/>
      <c r="C53" s="153" t="s">
        <v>43</v>
      </c>
      <c r="D53" s="155" t="s">
        <v>44</v>
      </c>
      <c r="E53" s="155" t="s">
        <v>48</v>
      </c>
    </row>
    <row r="54" spans="1:5" ht="13.5" hidden="1" customHeight="1">
      <c r="A54" s="58" t="s">
        <v>46</v>
      </c>
      <c r="B54" s="58" t="s">
        <v>47</v>
      </c>
      <c r="C54" s="154"/>
      <c r="D54" s="156"/>
      <c r="E54" s="156"/>
    </row>
    <row r="55" spans="1:5" ht="15" hidden="1" customHeight="1">
      <c r="A55" s="157">
        <f>+C44</f>
        <v>0</v>
      </c>
      <c r="B55" s="157">
        <f>+C43</f>
        <v>0</v>
      </c>
      <c r="C55" s="159">
        <f>+A55-B55</f>
        <v>0</v>
      </c>
      <c r="D55" s="163" t="e">
        <f>+E55/C55</f>
        <v>#DIV/0!</v>
      </c>
      <c r="E55" s="161">
        <f>+G44</f>
        <v>0</v>
      </c>
    </row>
    <row r="56" spans="1:5" hidden="1">
      <c r="A56" s="158"/>
      <c r="B56" s="158"/>
      <c r="C56" s="160"/>
      <c r="D56" s="164"/>
      <c r="E56" s="160"/>
    </row>
  </sheetData>
  <mergeCells count="15">
    <mergeCell ref="A53:B53"/>
    <mergeCell ref="C53:C54"/>
    <mergeCell ref="D53:D54"/>
    <mergeCell ref="E53:E54"/>
    <mergeCell ref="A55:A56"/>
    <mergeCell ref="B55:B56"/>
    <mergeCell ref="C55:C56"/>
    <mergeCell ref="D55:D56"/>
    <mergeCell ref="E55:E56"/>
    <mergeCell ref="B2:J2"/>
    <mergeCell ref="B3:J3"/>
    <mergeCell ref="A46:E46"/>
    <mergeCell ref="A48:E48"/>
    <mergeCell ref="B50:C50"/>
    <mergeCell ref="D50:D51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2:BV57"/>
  <sheetViews>
    <sheetView tabSelected="1" topLeftCell="A4" zoomScaleNormal="100" workbookViewId="0">
      <selection activeCell="AH11" sqref="AH11"/>
    </sheetView>
  </sheetViews>
  <sheetFormatPr baseColWidth="10" defaultRowHeight="15"/>
  <cols>
    <col min="1" max="1" width="11" style="40" customWidth="1"/>
    <col min="2" max="2" width="32.5703125" style="40" customWidth="1"/>
    <col min="3" max="3" width="9.85546875" style="40" customWidth="1"/>
    <col min="4" max="6" width="6.7109375" style="40" customWidth="1"/>
    <col min="7" max="7" width="9.28515625" style="40" customWidth="1"/>
    <col min="8" max="41" width="6.7109375" style="40" customWidth="1"/>
    <col min="42" max="42" width="7.7109375" style="40" customWidth="1"/>
    <col min="43" max="56" width="6.7109375" style="40" customWidth="1"/>
    <col min="57" max="57" width="8" style="40" customWidth="1"/>
    <col min="58" max="72" width="6.7109375" style="40" customWidth="1"/>
    <col min="73" max="73" width="11.140625" style="40" customWidth="1"/>
    <col min="74" max="16384" width="11.42578125" style="40"/>
  </cols>
  <sheetData>
    <row r="2" spans="1:73" s="1" customFormat="1" ht="32.450000000000003" customHeight="1">
      <c r="A2" s="165" t="s">
        <v>51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</row>
    <row r="3" spans="1:73" s="1" customFormat="1" ht="12.75">
      <c r="A3" s="2"/>
    </row>
    <row r="4" spans="1:73" s="1" customFormat="1" ht="12.75">
      <c r="A4" s="2" t="s">
        <v>8</v>
      </c>
      <c r="B4" s="1" t="s">
        <v>23</v>
      </c>
    </row>
    <row r="5" spans="1:73" s="1" customFormat="1" ht="12.75">
      <c r="A5" s="2" t="s">
        <v>10</v>
      </c>
    </row>
    <row r="6" spans="1:73" s="1" customFormat="1" ht="12.75">
      <c r="A6" s="2" t="s">
        <v>29</v>
      </c>
    </row>
    <row r="7" spans="1:73" ht="15" customHeight="1">
      <c r="A7" s="174" t="s">
        <v>24</v>
      </c>
      <c r="B7" s="174" t="s">
        <v>25</v>
      </c>
      <c r="C7" s="62"/>
      <c r="D7" s="168" t="s">
        <v>85</v>
      </c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42"/>
      <c r="BQ7" s="142"/>
      <c r="BR7" s="142"/>
      <c r="BS7" s="142"/>
      <c r="BT7" s="137"/>
      <c r="BU7" s="167" t="s">
        <v>28</v>
      </c>
    </row>
    <row r="8" spans="1:73" ht="22.5" customHeight="1">
      <c r="A8" s="174"/>
      <c r="B8" s="174"/>
      <c r="C8" s="63" t="s">
        <v>31</v>
      </c>
      <c r="D8" s="63">
        <v>45845</v>
      </c>
      <c r="E8" s="63">
        <v>45846</v>
      </c>
      <c r="F8" s="63">
        <v>45847</v>
      </c>
      <c r="G8" s="63">
        <v>45848</v>
      </c>
      <c r="H8" s="63">
        <v>45849</v>
      </c>
      <c r="I8" s="63">
        <v>45850</v>
      </c>
      <c r="J8" s="63">
        <v>45852</v>
      </c>
      <c r="K8" s="63">
        <v>45853</v>
      </c>
      <c r="L8" s="63">
        <v>45854</v>
      </c>
      <c r="M8" s="63">
        <v>45855</v>
      </c>
      <c r="N8" s="63">
        <v>45856</v>
      </c>
      <c r="O8" s="63">
        <v>45857</v>
      </c>
      <c r="P8" s="63"/>
      <c r="Q8" s="63">
        <v>45859</v>
      </c>
      <c r="R8" s="63">
        <v>45860</v>
      </c>
      <c r="S8" s="63">
        <v>45861</v>
      </c>
      <c r="T8" s="63">
        <v>45862</v>
      </c>
      <c r="U8" s="63">
        <v>45863</v>
      </c>
      <c r="V8" s="63">
        <v>45864</v>
      </c>
      <c r="W8" s="63">
        <v>45868</v>
      </c>
      <c r="X8" s="63">
        <v>45869</v>
      </c>
      <c r="Y8" s="63">
        <v>45870</v>
      </c>
      <c r="Z8" s="63">
        <v>45871</v>
      </c>
      <c r="AA8" s="63">
        <v>45872</v>
      </c>
      <c r="AB8" s="63">
        <v>45873</v>
      </c>
      <c r="AC8" s="63">
        <v>45874</v>
      </c>
      <c r="AD8" s="63">
        <v>45875</v>
      </c>
      <c r="AE8" s="63">
        <v>45876</v>
      </c>
      <c r="AF8" s="63">
        <v>45877</v>
      </c>
      <c r="AG8" s="63">
        <v>45878</v>
      </c>
      <c r="AH8" s="63">
        <v>45879</v>
      </c>
      <c r="AI8" s="63">
        <v>45880</v>
      </c>
      <c r="AJ8" s="63">
        <v>45881</v>
      </c>
      <c r="AK8" s="63">
        <v>45882</v>
      </c>
      <c r="AL8" s="63">
        <v>45883</v>
      </c>
      <c r="AM8" s="63">
        <v>45884</v>
      </c>
      <c r="AN8" s="63">
        <v>45885</v>
      </c>
      <c r="AO8" s="63">
        <v>45886</v>
      </c>
      <c r="AP8" s="63">
        <v>45887</v>
      </c>
      <c r="AQ8" s="63">
        <v>45888</v>
      </c>
      <c r="AR8" s="63">
        <v>45889</v>
      </c>
      <c r="AS8" s="63">
        <v>45890</v>
      </c>
      <c r="AT8" s="63">
        <v>45891</v>
      </c>
      <c r="AU8" s="63">
        <v>45892</v>
      </c>
      <c r="AV8" s="63">
        <v>45893</v>
      </c>
      <c r="AW8" s="63">
        <v>45894</v>
      </c>
      <c r="AX8" s="63">
        <v>45895</v>
      </c>
      <c r="AY8" s="63">
        <v>45896</v>
      </c>
      <c r="AZ8" s="63">
        <v>45897</v>
      </c>
      <c r="BA8" s="63">
        <v>45898</v>
      </c>
      <c r="BB8" s="63">
        <v>45899</v>
      </c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167"/>
    </row>
    <row r="9" spans="1:73" ht="8.25" customHeight="1">
      <c r="A9" s="59"/>
      <c r="B9" s="42"/>
      <c r="C9" s="43"/>
      <c r="D9" s="43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</row>
    <row r="10" spans="1:73">
      <c r="A10" s="60">
        <v>1</v>
      </c>
      <c r="B10" s="77" t="s">
        <v>27</v>
      </c>
      <c r="C10" s="41"/>
      <c r="D10" s="41">
        <f>SUMIF('EXC. Kobelco SK-350'!$B$9:$B$76,Consolidado!D8,'EXC. Kobelco SK-350'!$G$9:$G$76)</f>
        <v>0</v>
      </c>
      <c r="E10" s="41">
        <f>SUMIF('EXC. Kobelco SK-350'!$B$9:$B$76,Consolidado!E8,'EXC. Kobelco SK-350'!$G$9:$G$76)</f>
        <v>79.06</v>
      </c>
      <c r="F10" s="41">
        <f>SUMIF('EXC. Kobelco SK-350'!$B$9:$B$76,Consolidado!F8,'EXC. Kobelco SK-350'!$G$9:$G$76)</f>
        <v>39.9</v>
      </c>
      <c r="G10" s="44">
        <f>SUMIF('EXC. Kobelco SK-350'!$B$9:$B$76,Consolidado!G8,'EXC. Kobelco SK-350'!$G$9:$G$76)</f>
        <v>0</v>
      </c>
      <c r="H10" s="44">
        <f>SUMIF('EXC. Kobelco SK-350'!$B$9:$B$76,Consolidado!H8,'EXC. Kobelco SK-350'!$G$9:$G$76)</f>
        <v>70</v>
      </c>
      <c r="I10" s="44">
        <f>SUMIF('EXC. Kobelco SK-350'!$B$9:$B$76,Consolidado!I8,'EXC. Kobelco SK-350'!$G$9:$G$76)</f>
        <v>90</v>
      </c>
      <c r="J10" s="44">
        <f>SUMIF('EXC. Kobelco SK-350'!$B$9:$B$76,Consolidado!J8,'EXC. Kobelco SK-350'!$G$9:$G$76)</f>
        <v>80</v>
      </c>
      <c r="K10" s="44">
        <f>SUMIF('EXC. Kobelco SK-350'!$B$9:$B$76,Consolidado!K8,'EXC. Kobelco SK-350'!$G$9:$G$76)</f>
        <v>82</v>
      </c>
      <c r="L10" s="41">
        <f>SUMIF('EXC. Kobelco SK-350'!$B$9:$B$76,Consolidado!L8,'EXC. Kobelco SK-350'!$G$9:$G$76)</f>
        <v>0</v>
      </c>
      <c r="M10" s="41">
        <f>SUMIF('EXC. Kobelco SK-350'!$B$9:$B$76,Consolidado!M8,'EXC. Kobelco SK-350'!$G$9:$G$76)</f>
        <v>75</v>
      </c>
      <c r="N10" s="41">
        <f>SUMIF('EXC. Kobelco SK-350'!$B$9:$B$76,Consolidado!N8,'EXC. Kobelco SK-350'!$G$9:$G$76)</f>
        <v>39.43</v>
      </c>
      <c r="O10" s="44">
        <f>SUMIF('EXC. Kobelco SK-350'!$B$9:$B$76,Consolidado!O8,'EXC. Kobelco SK-350'!$G$9:$G$76)</f>
        <v>115</v>
      </c>
      <c r="P10" s="44"/>
      <c r="Q10" s="41">
        <f>SUMIF('EXC. Kobelco SK-350'!$B$9:$B$76,Consolidado!Q8,'EXC. Kobelco SK-350'!$G$9:$G$76)</f>
        <v>75.599999999999994</v>
      </c>
      <c r="R10" s="41">
        <f>SUMIF('EXC. Kobelco SK-350'!$B$9:$B$76,Consolidado!R8,'EXC. Kobelco SK-350'!$G$9:$G$76)</f>
        <v>56</v>
      </c>
      <c r="S10" s="41">
        <f>SUMIF('EXC. Kobelco SK-350'!$B$9:$B$76,Consolidado!S8,'EXC. Kobelco SK-350'!$G$9:$G$76)</f>
        <v>0</v>
      </c>
      <c r="T10" s="41">
        <f>SUMIF('EXC. Kobelco SK-350'!$B$9:$B$76,Consolidado!T8,'EXC. Kobelco SK-350'!$G$9:$G$76)</f>
        <v>102.19</v>
      </c>
      <c r="U10" s="41">
        <f>SUMIF('EXC. Kobelco SK-350'!$B$9:$B$76,Consolidado!U8,'EXC. Kobelco SK-350'!$G$9:$G$76)</f>
        <v>101.07</v>
      </c>
      <c r="V10" s="41">
        <f>SUMIF('EXC. Kobelco SK-350'!$B$9:$B$76,Consolidado!V8,'EXC. Kobelco SK-350'!$G$9:$G$76)</f>
        <v>0</v>
      </c>
      <c r="W10" s="41">
        <f>SUMIF('EXC. Kobelco SK-350'!$B$9:$B$76,Consolidado!W8,'EXC. Kobelco SK-350'!$G$9:$G$76)</f>
        <v>81</v>
      </c>
      <c r="X10" s="41">
        <f>SUMIF('EXC. Kobelco SK-350'!$B$9:$B$76,Consolidado!X8,'EXC. Kobelco SK-350'!$G$9:$G$76)</f>
        <v>0</v>
      </c>
      <c r="Y10" s="41">
        <f>SUMIF('EXC. Kobelco SK-350'!$B$9:$B$76,Consolidado!Y8,'EXC. Kobelco SK-350'!$G$9:$G$76)</f>
        <v>0</v>
      </c>
      <c r="Z10" s="41">
        <f>SUMIF('EXC. Kobelco SK-350'!$B$9:$B$76,Consolidado!Z8,'EXC. Kobelco SK-350'!$G$9:$G$76)</f>
        <v>104</v>
      </c>
      <c r="AA10" s="41">
        <f>SUMIF('EXC. Kobelco SK-350'!$B$9:$B$76,Consolidado!AA8,'EXC. Kobelco SK-350'!$G$9:$G$76)</f>
        <v>0</v>
      </c>
      <c r="AB10" s="41">
        <f>SUMIF('EXC. Kobelco SK-350'!$B$9:$B$76,Consolidado!AB8,'EXC. Kobelco SK-350'!$G$9:$G$76)</f>
        <v>110.95</v>
      </c>
      <c r="AC10" s="41">
        <f>SUMIF('EXC. Kobelco SK-350'!$B$9:$B$76,Consolidado!AC8,'EXC. Kobelco SK-350'!$G$9:$G$76)</f>
        <v>38.79</v>
      </c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82">
        <f>SUM(C10:BB10)</f>
        <v>1339.99</v>
      </c>
    </row>
    <row r="11" spans="1:73">
      <c r="A11" s="64">
        <v>2</v>
      </c>
      <c r="B11" s="144" t="s">
        <v>254</v>
      </c>
      <c r="C11" s="41"/>
      <c r="D11" s="41">
        <f>SUMIF('TRAC-D155 82081'!$B$10:$B$85,Consolidado!D$8,'TRAC-D155 82081'!$G$10:$G$85)</f>
        <v>0</v>
      </c>
      <c r="E11" s="41">
        <f>SUMIF('TRAC-D155 82081'!$B$10:$B$85,Consolidado!E$8,'TRAC-D155 82081'!$G$10:$G$85)</f>
        <v>75.94</v>
      </c>
      <c r="F11" s="41">
        <f>SUMIF('TRAC-D155 82081'!$B$10:$B$85,Consolidado!F$8,'TRAC-D155 82081'!$G$10:$G$85)</f>
        <v>75.099999999999994</v>
      </c>
      <c r="G11" s="41"/>
      <c r="H11" s="44"/>
      <c r="I11" s="41"/>
      <c r="J11" s="41"/>
      <c r="K11" s="41"/>
      <c r="L11" s="41"/>
      <c r="M11" s="41"/>
      <c r="N11" s="41"/>
      <c r="O11" s="41"/>
      <c r="P11" s="41"/>
      <c r="Q11" s="41"/>
      <c r="R11" s="41">
        <f>SUMIF('TRAC-D155 82081'!$B$10:$B$85,Consolidado!R8,'TRAC-D155 82081'!$G$10:$G$85)</f>
        <v>0</v>
      </c>
      <c r="S11" s="41">
        <f>SUMIF('TRAC-D155 82081'!$B$10:$B$85,Consolidado!S8,'TRAC-D155 82081'!$G$10:$G$85)</f>
        <v>0</v>
      </c>
      <c r="T11" s="41">
        <f>SUMIF('TRAC-D155 82081'!$B$10:$B$85,Consolidado!T8,'TRAC-D155 82081'!$G$10:$G$85)</f>
        <v>0</v>
      </c>
      <c r="U11" s="41">
        <f>SUMIF('TRAC-D155 82081'!$B$10:$B$85,Consolidado!U8,'TRAC-D155 82081'!$G$10:$G$85)</f>
        <v>0</v>
      </c>
      <c r="V11" s="41">
        <f>SUMIF('TRAC-D155 82081'!$B$10:$B$85,Consolidado!V8,'TRAC-D155 82081'!$G$10:$G$85)</f>
        <v>0</v>
      </c>
      <c r="W11" s="41">
        <f>SUMIF('TRAC-D155 82081'!$B$10:$B$85,Consolidado!W8,'TRAC-D155 82081'!$G$10:$G$85)</f>
        <v>0</v>
      </c>
      <c r="X11" s="41">
        <f>SUMIF('TRAC-D155 82081'!$B$10:$B$85,Consolidado!X8,'TRAC-D155 82081'!$G$10:$G$85)</f>
        <v>0</v>
      </c>
      <c r="Y11" s="41">
        <f>SUMIF('TRAC-D155 82081'!$B$10:$B$85,Consolidado!Y8,'TRAC-D155 82081'!$G$10:$G$85)</f>
        <v>0</v>
      </c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82">
        <f>SUM(C11:BB11)</f>
        <v>151.04</v>
      </c>
    </row>
    <row r="12" spans="1:73">
      <c r="A12" s="64">
        <v>3</v>
      </c>
      <c r="B12" s="144" t="s">
        <v>253</v>
      </c>
      <c r="C12" s="95">
        <f>+'TRAC D-155 82071'!G9</f>
        <v>108.70296999999999</v>
      </c>
      <c r="D12" s="44">
        <f>SUMIF('TRAC D-155 82071'!$B$9:$B$59,Consolidado!D$8,'TRAC D-155 82071'!$G$9:$G$68)</f>
        <v>0</v>
      </c>
      <c r="E12" s="44">
        <f>SUMIF('TRAC D-155 82071'!$B$9:$B$59,Consolidado!E$8,'TRAC D-155 82071'!$G$9:$G$68)</f>
        <v>0</v>
      </c>
      <c r="F12" s="44">
        <f>SUMIF('TRAC D-155 82071'!$B$9:$B$59,Consolidado!F$8,'TRAC D-155 82071'!$G$9:$G$68)</f>
        <v>0</v>
      </c>
      <c r="G12" s="44">
        <f>SUMIF('TRAC D-155 82071'!$B$9:$B$59,Consolidado!G$8,'TRAC D-155 82071'!$G$9:$G$68)</f>
        <v>108.70296999999999</v>
      </c>
      <c r="H12" s="44">
        <f>SUMIF('TRAC D-155 82071'!$B$9:$B$59,Consolidado!H$8,'TRAC D-155 82071'!$G$9:$G$68)</f>
        <v>0</v>
      </c>
      <c r="I12" s="44">
        <f>SUMIF('TRAC D-155 82071'!$B$9:$B$59,Consolidado!I$8,'TRAC D-155 82071'!$G$9:$G$68)</f>
        <v>90</v>
      </c>
      <c r="J12" s="44">
        <f>SUMIF('TRAC D-155 82071'!$B$9:$B$59,Consolidado!J$8,'TRAC D-155 82071'!$G$9:$G$68)</f>
        <v>90</v>
      </c>
      <c r="K12" s="44">
        <f>SUMIF('TRAC D-155 82071'!$B$9:$B$59,Consolidado!K$8,'TRAC D-155 82071'!$G$9:$G$68)</f>
        <v>114</v>
      </c>
      <c r="L12" s="44">
        <f>SUMIF('TRAC D-155 82071'!$B$9:$B$59,Consolidado!L$8,'TRAC D-155 82071'!$G$9:$G$68)</f>
        <v>0</v>
      </c>
      <c r="M12" s="44">
        <f>SUMIF('TRAC D-155 82071'!$B$9:$B$59,Consolidado!M$8,'TRAC D-155 82071'!$G$9:$G$68)</f>
        <v>90</v>
      </c>
      <c r="N12" s="44">
        <f>SUMIF('TRAC D-155 82071'!$B$9:$B$59,Consolidado!N$8,'TRAC D-155 82071'!$G$9:$G$68)</f>
        <v>60.57</v>
      </c>
      <c r="O12" s="44">
        <f>SUMIF('TRAC D-155 82071'!$B$9:$B$59,Consolidado!O$8,'TRAC D-155 82071'!$G$9:$G$68)</f>
        <v>105</v>
      </c>
      <c r="P12" s="44"/>
      <c r="Q12" s="44">
        <f>SUMIF('TRAC D-155 82071'!$B$9:$B$59,Consolidado!Q$8,'TRAC D-155 82071'!$G$9:$G$68)</f>
        <v>109.81</v>
      </c>
      <c r="R12" s="44">
        <f>SUMIF('TRAC D-155 82071'!$B$9:$B$59,Consolidado!R$8,'TRAC D-155 82071'!$G$9:$G$68)</f>
        <v>82.03</v>
      </c>
      <c r="S12" s="44">
        <f>SUMIF('TRAC D-155 82071'!$B$9:$B$59,Consolidado!S$8,'TRAC D-155 82071'!$G$9:$G$68)</f>
        <v>0</v>
      </c>
      <c r="T12" s="44">
        <f>SUMIF('TRAC D-155 82071'!$B$9:$B$59,Consolidado!T$8,'TRAC D-155 82071'!$G$9:$G$68)</f>
        <v>108.35</v>
      </c>
      <c r="U12" s="44">
        <f>SUMIF('TRAC D-155 82071'!$B$9:$B$59,Consolidado!U$8,'TRAC D-155 82071'!$G$9:$G$68)</f>
        <v>123.83</v>
      </c>
      <c r="V12" s="44">
        <f>SUMIF('TRAC D-155 82071'!$B$9:$B$59,Consolidado!V$8,'TRAC D-155 82071'!$G$9:$G$68)</f>
        <v>0</v>
      </c>
      <c r="W12" s="44">
        <f>SUMIF('TRAC D-155 82071'!$B$9:$B$59,Consolidado!W$8,'TRAC D-155 82071'!$G$9:$G$68)</f>
        <v>106.5</v>
      </c>
      <c r="X12" s="44">
        <f>SUMIF('TRAC D-155 82071'!$B$9:$B$59,Consolidado!X$8,'TRAC D-155 82071'!$G$9:$G$68)</f>
        <v>0</v>
      </c>
      <c r="Y12" s="44">
        <f>SUMIF('TRAC D-155 82071'!$B$9:$B$59,Consolidado!Y$8,'TRAC D-155 82071'!$G$9:$G$68)</f>
        <v>0</v>
      </c>
      <c r="Z12" s="44">
        <f>SUMIF('TRAC D-155 82071'!$B$9:$B$59,Consolidado!Z$8,'TRAC D-155 82071'!$G$9:$G$68)</f>
        <v>65</v>
      </c>
      <c r="AA12" s="44">
        <f>SUMIF('TRAC D-155 82071'!$B$9:$B$59,Consolidado!AA$8,'TRAC D-155 82071'!$G$9:$G$68)</f>
        <v>0</v>
      </c>
      <c r="AB12" s="44">
        <f>SUMIF('TRAC D-155 82071'!$B$9:$B$59,Consolidado!AB$8,'TRAC D-155 82071'!$G$9:$G$68)</f>
        <v>0</v>
      </c>
      <c r="AC12" s="44">
        <f>SUMIF('TRAC D-155 82071'!$B$9:$B$59,Consolidado!AC$8,'TRAC D-155 82071'!$G$9:$G$68)</f>
        <v>0</v>
      </c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82">
        <f>SUM(C12:BB12)</f>
        <v>1362.4959399999998</v>
      </c>
    </row>
    <row r="13" spans="1:73">
      <c r="A13" s="64">
        <v>4</v>
      </c>
      <c r="B13" s="119" t="s">
        <v>83</v>
      </c>
      <c r="C13" s="41"/>
      <c r="D13" s="44"/>
      <c r="E13" s="44">
        <f>SUMIF('Camioneta serv'!$B$9:$B$15,Consolidado!E$8,'Camioneta serv'!$G$9:$G$15)</f>
        <v>5</v>
      </c>
      <c r="F13" s="44">
        <f>SUMIF('Camioneta serv'!$B$9:$B$15,Consolidado!F$8,'Camioneta serv'!$G$9:$G$15)</f>
        <v>0</v>
      </c>
      <c r="G13" s="44"/>
      <c r="H13" s="44"/>
      <c r="I13" s="44">
        <f>SUMIF('Camioneta serv'!$B$9:$B$15,Consolidado!I$8,'Camioneta serv'!$G$9:$G$15)</f>
        <v>5</v>
      </c>
      <c r="J13" s="44">
        <f>SUMIF('Camioneta serv'!$B$9:$B$15,Consolidado!J$8,'Camioneta serv'!$G$9:$G$15)</f>
        <v>5</v>
      </c>
      <c r="K13" s="44">
        <f>SUMIF('Camioneta serv'!$B$9:$B$15,Consolidado!K$8,'Camioneta serv'!$G$9:$G$15)</f>
        <v>4</v>
      </c>
      <c r="L13" s="44">
        <f>SUMIF('Camioneta serv'!$B$9:$B$15,Consolidado!L$8,'Camioneta serv'!$G$9:$G$15)</f>
        <v>0</v>
      </c>
      <c r="M13" s="44">
        <f>SUMIF('Camioneta serv'!$B$9:$B$15,Consolidado!M$8,'Camioneta serv'!$G$9:$G$15)</f>
        <v>5</v>
      </c>
      <c r="N13" s="44">
        <f>SUMIF('Camioneta serv'!$B$9:$B$18,Consolidado!N$8,'Camioneta serv'!$G$9:$G$18)</f>
        <v>0</v>
      </c>
      <c r="O13" s="44">
        <f>SUMIF('Camioneta serv'!$B$9:$B$18,Consolidado!O$8,'Camioneta serv'!$G$9:$G$18)</f>
        <v>0</v>
      </c>
      <c r="P13" s="44"/>
      <c r="Q13" s="44">
        <f>SUMIF('Camioneta serv'!$B$9:$B$18,Consolidado!Q$8,'Camioneta serv'!$G$9:$G$18)</f>
        <v>0</v>
      </c>
      <c r="R13" s="44">
        <f>SUMIF('Camioneta serv'!$B$9:$B$18,Consolidado!R$8,'Camioneta serv'!$G$9:$G$18)</f>
        <v>0</v>
      </c>
      <c r="S13" s="44">
        <f>SUMIF('Camioneta serv'!$B$9:$B$18,Consolidado!S$8,'Camioneta serv'!$G$9:$G$18)</f>
        <v>0</v>
      </c>
      <c r="T13" s="44">
        <f>SUMIF('Camioneta serv'!$B$9:$B$18,Consolidado!T$8,'Camioneta serv'!$G$9:$G$18)</f>
        <v>0</v>
      </c>
      <c r="U13" s="44">
        <f>SUMIF('Camioneta serv'!$B$9:$B$18,Consolidado!U$8,'Camioneta serv'!$G$9:$G$18)</f>
        <v>0</v>
      </c>
      <c r="V13" s="44">
        <f>SUMIF('Camioneta serv'!$B$9:$B$18,Consolidado!V$8,'Camioneta serv'!$G$9:$G$18)</f>
        <v>0</v>
      </c>
      <c r="W13" s="44">
        <f>SUMIF('Camioneta serv'!$B$9:$B$18,Consolidado!W$8,'Camioneta serv'!$G$9:$G$18)</f>
        <v>0</v>
      </c>
      <c r="X13" s="44">
        <f>SUMIF('Camioneta serv'!$B$9:$B$18,Consolidado!X$8,'Camioneta serv'!$G$9:$G$18)</f>
        <v>0</v>
      </c>
      <c r="Y13" s="44">
        <f>SUMIF('Camioneta serv'!$B$9:$B$18,Consolidado!Y$8,'Camioneta serv'!$G$9:$G$18)</f>
        <v>0</v>
      </c>
      <c r="Z13" s="44">
        <f>SUMIF('Camioneta serv'!$B$9:$B$18,Consolidado!Z$8,'Camioneta serv'!$G$9:$G$18)</f>
        <v>0</v>
      </c>
      <c r="AA13" s="44">
        <f>SUMIF('Camioneta serv'!$B$9:$B$18,Consolidado!AA$8,'Camioneta serv'!$G$9:$G$18)</f>
        <v>5</v>
      </c>
      <c r="AB13" s="44">
        <f>SUMIF('Camioneta serv'!$B$9:$B$18,Consolidado!AB$8,'Camioneta serv'!$G$9:$G$18)</f>
        <v>0</v>
      </c>
      <c r="AC13" s="44">
        <f>SUMIF('Camioneta serv'!$B$9:$B$18,Consolidado!AC$8,'Camioneta serv'!$G$9:$G$18)</f>
        <v>0</v>
      </c>
      <c r="AD13" s="44">
        <f>SUMIF('Camioneta serv'!$B$9:$B$18,Consolidado!AD$8,'Camioneta serv'!$G$9:$G$18)</f>
        <v>0</v>
      </c>
      <c r="AE13" s="44">
        <f>SUMIF('Camioneta serv'!$B$9:$B$18,Consolidado!AE$8,'Camioneta serv'!$G$9:$G$18)</f>
        <v>0</v>
      </c>
      <c r="AF13" s="44">
        <f>SUMIF('Camioneta serv'!$B$9:$B$18,Consolidado!AF$8,'Camioneta serv'!$G$9:$G$18)</f>
        <v>0</v>
      </c>
      <c r="AG13" s="44">
        <f>SUMIF('Camioneta serv'!$B$9:$B$18,Consolidado!AG$8,'Camioneta serv'!$G$9:$G$18)</f>
        <v>0</v>
      </c>
      <c r="AH13" s="44">
        <f>SUMIF('Camioneta serv'!$B$9:$B$18,Consolidado!AH$8,'Camioneta serv'!$G$9:$G$18)</f>
        <v>0</v>
      </c>
      <c r="AI13" s="44">
        <f>SUMIF('Camioneta serv'!$B$9:$B$18,Consolidado!AI$8,'Camioneta serv'!$G$9:$G$18)</f>
        <v>0</v>
      </c>
      <c r="AJ13" s="44">
        <f>SUMIF('Camioneta serv'!$B$9:$B$18,Consolidado!AJ$8,'Camioneta serv'!$G$9:$G$18)</f>
        <v>0</v>
      </c>
      <c r="AK13" s="44">
        <f>SUMIF('Camioneta serv'!$B$9:$B$18,Consolidado!AK$8,'Camioneta serv'!$G$9:$G$18)</f>
        <v>0</v>
      </c>
      <c r="AL13" s="44">
        <v>18.86</v>
      </c>
      <c r="AM13" s="44">
        <f>SUMIF('Camioneta serv'!$B$9:$B$18,Consolidado!AM$8,'Camioneta serv'!$G$9:$G$18)</f>
        <v>0</v>
      </c>
      <c r="AN13" s="44">
        <f>SUMIF('Camioneta serv'!$B$9:$B$18,Consolidado!AN$8,'Camioneta serv'!$G$9:$G$18)</f>
        <v>0</v>
      </c>
      <c r="AO13" s="44">
        <f>SUMIF('Camioneta serv'!$B$9:$B$18,Consolidado!AO$8,'Camioneta serv'!$G$9:$G$18)</f>
        <v>0</v>
      </c>
      <c r="AP13" s="44">
        <f>SUMIF('Camioneta serv'!$B$9:$B$18,Consolidado!AP$8,'Camioneta serv'!$G$9:$G$18)</f>
        <v>0</v>
      </c>
      <c r="AQ13" s="44">
        <f>SUMIF('Camioneta serv'!$B$9:$B$18,Consolidado!AQ$8,'Camioneta serv'!$G$9:$G$18)</f>
        <v>0</v>
      </c>
      <c r="AR13" s="44">
        <f>SUMIF('Camioneta serv'!$B$9:$B$18,Consolidado!AR$8,'Camioneta serv'!$G$9:$G$18)</f>
        <v>0</v>
      </c>
      <c r="AS13" s="44">
        <f>SUMIF('Camioneta serv'!$B$9:$B$18,Consolidado!AS$8,'Camioneta serv'!$G$9:$G$18)</f>
        <v>0</v>
      </c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82">
        <f>SUM(C13:BB13)</f>
        <v>47.86</v>
      </c>
    </row>
    <row r="14" spans="1:73">
      <c r="A14" s="170" t="s">
        <v>22</v>
      </c>
      <c r="B14" s="171"/>
      <c r="C14" s="82">
        <f>SUM(C10:C12)</f>
        <v>108.70296999999999</v>
      </c>
      <c r="D14" s="81">
        <f>SUM(D10:D12)</f>
        <v>0</v>
      </c>
      <c r="E14" s="81">
        <f t="shared" ref="E14:BB14" si="0">SUM(E10:E13)</f>
        <v>160</v>
      </c>
      <c r="F14" s="81">
        <f t="shared" si="0"/>
        <v>115</v>
      </c>
      <c r="G14" s="82">
        <f>SUM(G10:G13)</f>
        <v>108.70296999999999</v>
      </c>
      <c r="H14" s="82">
        <f t="shared" si="0"/>
        <v>70</v>
      </c>
      <c r="I14" s="81">
        <f t="shared" si="0"/>
        <v>185</v>
      </c>
      <c r="J14" s="81">
        <f t="shared" si="0"/>
        <v>175</v>
      </c>
      <c r="K14" s="81">
        <f t="shared" si="0"/>
        <v>200</v>
      </c>
      <c r="L14" s="81">
        <f t="shared" si="0"/>
        <v>0</v>
      </c>
      <c r="M14" s="81">
        <f t="shared" si="0"/>
        <v>170</v>
      </c>
      <c r="N14" s="81">
        <f t="shared" si="0"/>
        <v>100</v>
      </c>
      <c r="O14" s="81">
        <f t="shared" si="0"/>
        <v>220</v>
      </c>
      <c r="P14" s="81"/>
      <c r="Q14" s="81">
        <f>SUM(Q10:Q13)</f>
        <v>185.41</v>
      </c>
      <c r="R14" s="81">
        <f t="shared" si="0"/>
        <v>138.03</v>
      </c>
      <c r="S14" s="81">
        <f t="shared" si="0"/>
        <v>0</v>
      </c>
      <c r="T14" s="81">
        <f>SUM(T10:T13)</f>
        <v>210.54</v>
      </c>
      <c r="U14" s="81">
        <f t="shared" si="0"/>
        <v>224.89999999999998</v>
      </c>
      <c r="V14" s="81">
        <f t="shared" si="0"/>
        <v>0</v>
      </c>
      <c r="W14" s="81">
        <f t="shared" si="0"/>
        <v>187.5</v>
      </c>
      <c r="X14" s="81">
        <f t="shared" si="0"/>
        <v>0</v>
      </c>
      <c r="Y14" s="81">
        <f t="shared" si="0"/>
        <v>0</v>
      </c>
      <c r="Z14" s="81">
        <f t="shared" si="0"/>
        <v>169</v>
      </c>
      <c r="AA14" s="81">
        <f t="shared" si="0"/>
        <v>5</v>
      </c>
      <c r="AB14" s="81">
        <f t="shared" si="0"/>
        <v>110.95</v>
      </c>
      <c r="AC14" s="81">
        <f t="shared" si="0"/>
        <v>38.79</v>
      </c>
      <c r="AD14" s="81">
        <f t="shared" si="0"/>
        <v>0</v>
      </c>
      <c r="AE14" s="81">
        <f t="shared" si="0"/>
        <v>0</v>
      </c>
      <c r="AF14" s="81">
        <f t="shared" si="0"/>
        <v>0</v>
      </c>
      <c r="AG14" s="81">
        <f t="shared" si="0"/>
        <v>0</v>
      </c>
      <c r="AH14" s="81">
        <f t="shared" si="0"/>
        <v>0</v>
      </c>
      <c r="AI14" s="81">
        <f t="shared" si="0"/>
        <v>0</v>
      </c>
      <c r="AJ14" s="81">
        <f t="shared" si="0"/>
        <v>0</v>
      </c>
      <c r="AK14" s="81">
        <f t="shared" si="0"/>
        <v>0</v>
      </c>
      <c r="AL14" s="81">
        <f t="shared" si="0"/>
        <v>18.86</v>
      </c>
      <c r="AM14" s="81">
        <f t="shared" si="0"/>
        <v>0</v>
      </c>
      <c r="AN14" s="81">
        <f t="shared" si="0"/>
        <v>0</v>
      </c>
      <c r="AO14" s="81">
        <f t="shared" si="0"/>
        <v>0</v>
      </c>
      <c r="AP14" s="81">
        <f t="shared" si="0"/>
        <v>0</v>
      </c>
      <c r="AQ14" s="81">
        <f t="shared" si="0"/>
        <v>0</v>
      </c>
      <c r="AR14" s="81">
        <f t="shared" si="0"/>
        <v>0</v>
      </c>
      <c r="AS14" s="81">
        <f t="shared" si="0"/>
        <v>0</v>
      </c>
      <c r="AT14" s="81">
        <f t="shared" si="0"/>
        <v>0</v>
      </c>
      <c r="AU14" s="81"/>
      <c r="AV14" s="81"/>
      <c r="AW14" s="81"/>
      <c r="AX14" s="81"/>
      <c r="AY14" s="81"/>
      <c r="AZ14" s="81"/>
      <c r="BA14" s="81">
        <f t="shared" si="0"/>
        <v>0</v>
      </c>
      <c r="BB14" s="81">
        <f t="shared" si="0"/>
        <v>0</v>
      </c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3">
        <f>SUM(BU10:BU13)</f>
        <v>2901.3859399999997</v>
      </c>
    </row>
    <row r="15" spans="1:73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7"/>
    </row>
    <row r="16" spans="1:73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7"/>
    </row>
    <row r="17" spans="1:73" ht="15" customHeight="1">
      <c r="A17" s="174" t="s">
        <v>24</v>
      </c>
      <c r="B17" s="174" t="s">
        <v>25</v>
      </c>
      <c r="C17" s="91"/>
      <c r="D17" s="168" t="s">
        <v>86</v>
      </c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42"/>
      <c r="BQ17" s="142"/>
      <c r="BR17" s="142"/>
      <c r="BS17" s="142"/>
      <c r="BT17" s="137"/>
      <c r="BU17" s="167" t="s">
        <v>28</v>
      </c>
    </row>
    <row r="18" spans="1:73" ht="22.5" customHeight="1">
      <c r="A18" s="174"/>
      <c r="B18" s="174"/>
      <c r="C18" s="63" t="s">
        <v>31</v>
      </c>
      <c r="D18" s="63">
        <v>45845</v>
      </c>
      <c r="E18" s="63">
        <v>45846</v>
      </c>
      <c r="F18" s="63">
        <v>45847</v>
      </c>
      <c r="G18" s="63">
        <v>45848</v>
      </c>
      <c r="H18" s="63">
        <v>45849</v>
      </c>
      <c r="I18" s="63">
        <v>45850</v>
      </c>
      <c r="J18" s="63">
        <v>45852</v>
      </c>
      <c r="K18" s="63">
        <v>45853</v>
      </c>
      <c r="L18" s="63">
        <v>45854</v>
      </c>
      <c r="M18" s="63">
        <v>45855</v>
      </c>
      <c r="N18" s="63">
        <v>45856</v>
      </c>
      <c r="O18" s="63">
        <v>45857</v>
      </c>
      <c r="P18" s="63"/>
      <c r="Q18" s="63">
        <v>45859</v>
      </c>
      <c r="R18" s="63">
        <v>45860</v>
      </c>
      <c r="S18" s="63">
        <v>45861</v>
      </c>
      <c r="T18" s="63">
        <v>45862</v>
      </c>
      <c r="U18" s="63">
        <v>45863</v>
      </c>
      <c r="V18" s="63">
        <v>45864</v>
      </c>
      <c r="W18" s="63">
        <v>45868</v>
      </c>
      <c r="X18" s="63">
        <v>45869</v>
      </c>
      <c r="Y18" s="63">
        <v>45870</v>
      </c>
      <c r="Z18" s="63">
        <v>45871</v>
      </c>
      <c r="AA18" s="63">
        <v>45872</v>
      </c>
      <c r="AB18" s="63">
        <v>45873</v>
      </c>
      <c r="AC18" s="63">
        <v>45874</v>
      </c>
      <c r="AD18" s="63">
        <v>45875</v>
      </c>
      <c r="AE18" s="63">
        <v>45876</v>
      </c>
      <c r="AF18" s="63">
        <v>45877</v>
      </c>
      <c r="AG18" s="63">
        <v>45878</v>
      </c>
      <c r="AH18" s="63">
        <v>45879</v>
      </c>
      <c r="AI18" s="63">
        <v>45880</v>
      </c>
      <c r="AJ18" s="63">
        <v>45881</v>
      </c>
      <c r="AK18" s="63">
        <v>45882</v>
      </c>
      <c r="AL18" s="63">
        <v>45883</v>
      </c>
      <c r="AM18" s="63">
        <v>45884</v>
      </c>
      <c r="AN18" s="63">
        <v>45885</v>
      </c>
      <c r="AO18" s="63">
        <v>45886</v>
      </c>
      <c r="AP18" s="63">
        <v>45887</v>
      </c>
      <c r="AQ18" s="63">
        <v>45888</v>
      </c>
      <c r="AR18" s="63">
        <v>45889</v>
      </c>
      <c r="AS18" s="63">
        <v>45890</v>
      </c>
      <c r="AT18" s="63">
        <v>45891</v>
      </c>
      <c r="AU18" s="63">
        <v>45892</v>
      </c>
      <c r="AV18" s="63">
        <v>45893</v>
      </c>
      <c r="AW18" s="63">
        <v>45894</v>
      </c>
      <c r="AX18" s="63">
        <v>45895</v>
      </c>
      <c r="AY18" s="63">
        <v>45896</v>
      </c>
      <c r="AZ18" s="63">
        <v>45897</v>
      </c>
      <c r="BA18" s="63">
        <v>45898</v>
      </c>
      <c r="BB18" s="63">
        <v>45899</v>
      </c>
      <c r="BC18" s="63">
        <v>45900</v>
      </c>
      <c r="BD18" s="63">
        <v>45901</v>
      </c>
      <c r="BE18" s="63">
        <v>45902</v>
      </c>
      <c r="BF18" s="63">
        <v>45903</v>
      </c>
      <c r="BG18" s="63">
        <v>45904</v>
      </c>
      <c r="BH18" s="63">
        <v>45905</v>
      </c>
      <c r="BI18" s="63">
        <v>45906</v>
      </c>
      <c r="BJ18" s="63">
        <v>45907</v>
      </c>
      <c r="BK18" s="63">
        <v>45908</v>
      </c>
      <c r="BL18" s="63">
        <v>45909</v>
      </c>
      <c r="BM18" s="63">
        <v>45910</v>
      </c>
      <c r="BN18" s="63">
        <v>45911</v>
      </c>
      <c r="BO18" s="63">
        <v>45912</v>
      </c>
      <c r="BP18" s="63">
        <v>45913</v>
      </c>
      <c r="BQ18" s="63">
        <v>45914</v>
      </c>
      <c r="BR18" s="63">
        <v>45915</v>
      </c>
      <c r="BS18" s="63">
        <v>45916</v>
      </c>
      <c r="BT18" s="63">
        <v>45923</v>
      </c>
      <c r="BU18" s="167"/>
    </row>
    <row r="19" spans="1:73" ht="8.25" customHeight="1">
      <c r="A19" s="59"/>
      <c r="B19" s="42"/>
      <c r="C19" s="43"/>
      <c r="D19" s="43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</row>
    <row r="20" spans="1:73" ht="11.25" customHeight="1">
      <c r="A20" s="59">
        <v>1</v>
      </c>
      <c r="B20" s="77" t="s">
        <v>27</v>
      </c>
      <c r="C20" s="43"/>
      <c r="D20" s="43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>
        <f>SUMIF('EXC. Kobelco SK-350'!$B$9:$B$76,Consolidado!AD18,'EXC. Kobelco SK-350'!$G$9:$G$76)</f>
        <v>81.415000000000006</v>
      </c>
      <c r="AE20" s="41">
        <f>SUMIF('EXC. Kobelco SK-350'!$B$9:$B$76,Consolidado!AE18,'EXC. Kobelco SK-350'!$G$9:$G$76)</f>
        <v>-118</v>
      </c>
      <c r="AF20" s="41">
        <f>SUMIF('EXC. Kobelco SK-350'!$B$9:$B$76,Consolidado!AF18,'EXC. Kobelco SK-350'!$G$9:$G$76)</f>
        <v>0</v>
      </c>
      <c r="AG20" s="41">
        <f>SUMIF('EXC. Kobelco SK-350'!$B$9:$B$76,Consolidado!AG18,'EXC. Kobelco SK-350'!$G$9:$G$76)</f>
        <v>37.44</v>
      </c>
      <c r="AH20" s="41">
        <f>SUMIF('EXC. Kobelco SK-350'!$B$9:$B$76,Consolidado!AH18,'EXC. Kobelco SK-350'!$G$9:$G$76)</f>
        <v>0</v>
      </c>
      <c r="AI20" s="41">
        <f>SUMIF('EXC. Kobelco SK-350'!$B$9:$B$76,Consolidado!AI18,'EXC. Kobelco SK-350'!$G$9:$G$76)</f>
        <v>0</v>
      </c>
      <c r="AJ20" s="41">
        <f>SUMIF('EXC. Kobelco SK-350'!$B$9:$B$76,Consolidado!AJ18,'EXC. Kobelco SK-350'!$G$9:$G$76)</f>
        <v>0</v>
      </c>
      <c r="AK20" s="41">
        <f>SUMIF('EXC. Kobelco SK-350'!$B$9:$B$76,Consolidado!AK18,'EXC. Kobelco SK-350'!$G$9:$G$76)</f>
        <v>0</v>
      </c>
      <c r="AL20" s="41">
        <f>SUMIF('EXC. Kobelco SK-350'!$B$9:$B$76,Consolidado!AL18,'EXC. Kobelco SK-350'!$G$9:$G$76)</f>
        <v>80.11</v>
      </c>
      <c r="AM20" s="41">
        <f>SUMIF('EXC. Kobelco SK-350'!$B$9:$B$76,Consolidado!AM18,'EXC. Kobelco SK-350'!$G$9:$G$76)</f>
        <v>31.4</v>
      </c>
      <c r="AN20" s="41">
        <f>SUMIF('EXC. Kobelco SK-350'!$B$9:$B$76,Consolidado!AN18,'EXC. Kobelco SK-350'!$G$9:$G$76)</f>
        <v>0</v>
      </c>
      <c r="AO20" s="41">
        <f>SUMIF('EXC. Kobelco SK-350'!$B$9:$B$76,Consolidado!AO18,'EXC. Kobelco SK-350'!$G$9:$G$76)</f>
        <v>0</v>
      </c>
      <c r="AP20" s="41">
        <f>SUMIF('EXC. Kobelco SK-350'!$B$9:$B$76,Consolidado!AP18,'EXC. Kobelco SK-350'!$G$9:$G$76)</f>
        <v>0</v>
      </c>
      <c r="AQ20" s="41">
        <f>SUMIF('EXC. Kobelco SK-350'!$B$9:$B$76,Consolidado!AQ18,'EXC. Kobelco SK-350'!$G$9:$G$76)</f>
        <v>0</v>
      </c>
      <c r="AR20" s="41">
        <f>SUMIF('EXC. Kobelco SK-350'!$B$9:$B$76,Consolidado!AR18,'EXC. Kobelco SK-350'!$G$9:$G$76)</f>
        <v>0</v>
      </c>
      <c r="AS20" s="41">
        <f>SUMIF('EXC. Kobelco SK-350'!$B$9:$B$76,Consolidado!AS18,'EXC. Kobelco SK-350'!$G$9:$G$76)</f>
        <v>91.6</v>
      </c>
      <c r="AT20" s="41">
        <f>SUMIF('EXC. Kobelco SK-350'!$B$9:$B$76,Consolidado!AT18,'EXC. Kobelco SK-350'!$G$9:$G$76)</f>
        <v>40</v>
      </c>
      <c r="AU20" s="41">
        <f>SUMIF('EXC. Kobelco SK-350'!$B$9:$B$76,Consolidado!AU18,'EXC. Kobelco SK-350'!$G$9:$G$76)</f>
        <v>55.65</v>
      </c>
      <c r="AV20" s="41">
        <f>SUMIF('EXC. Kobelco SK-350'!$B$9:$B$76,Consolidado!AV18,'EXC. Kobelco SK-350'!$G$9:$G$76)</f>
        <v>0</v>
      </c>
      <c r="AW20" s="41">
        <f>SUMIF('EXC. Kobelco SK-350'!$B$9:$B$76,Consolidado!AW18,'EXC. Kobelco SK-350'!$G$9:$G$76)</f>
        <v>96.6</v>
      </c>
      <c r="AX20" s="41">
        <f>SUMIF('EXC. Kobelco SK-350'!$B$9:$B$76,Consolidado!AX18,'EXC. Kobelco SK-350'!$G$9:$G$76)</f>
        <v>44.51</v>
      </c>
      <c r="AY20" s="41">
        <f>SUMIF('EXC. Kobelco SK-350'!$B$9:$B$76,Consolidado!AY18,'EXC. Kobelco SK-350'!$G$9:$G$76)</f>
        <v>57.63</v>
      </c>
      <c r="AZ20" s="41">
        <f>SUMIF('EXC. Kobelco SK-350'!$B$9:$B$76,Consolidado!AZ18,'EXC. Kobelco SK-350'!$G$9:$G$76)</f>
        <v>55.42</v>
      </c>
      <c r="BA20" s="41">
        <f>SUMIF('EXC. Kobelco SK-350'!$B$9:$B$76,Consolidado!BA18,'EXC. Kobelco SK-350'!$G$9:$G$76)</f>
        <v>79.25</v>
      </c>
      <c r="BB20" s="41">
        <f>SUMIF('EXC. Kobelco SK-350'!$B$9:$B$76,Consolidado!BB18,'EXC. Kobelco SK-350'!$G$9:$G$76)</f>
        <v>71.27</v>
      </c>
      <c r="BC20" s="41">
        <f>SUMIF('EXC. Kobelco SK-350'!$B$9:$B$76,Consolidado!BC18,'EXC. Kobelco SK-350'!$G$9:$G$76)</f>
        <v>62.56</v>
      </c>
      <c r="BD20" s="41">
        <f>SUMIF('EXC. Kobelco SK-350'!$B$9:$B$76,Consolidado!BD18,'EXC. Kobelco SK-350'!$G$9:$G$76)</f>
        <v>55.1</v>
      </c>
      <c r="BE20" s="41">
        <f>SUMIF('EXC. Kobelco SK-350'!$B$9:$B$76,Consolidado!BE18,'EXC. Kobelco SK-350'!$G$9:$G$76)</f>
        <v>0</v>
      </c>
      <c r="BF20" s="41">
        <f>SUMIF('EXC. Kobelco SK-350'!$B$9:$B$76,Consolidado!BF18,'EXC. Kobelco SK-350'!$G$9:$G$76)</f>
        <v>112.19</v>
      </c>
      <c r="BG20" s="41">
        <f>SUMIF('EXC. Kobelco SK-350'!$B$9:$B$76,Consolidado!BG18,'EXC. Kobelco SK-350'!$G$9:$G$76)</f>
        <v>0</v>
      </c>
      <c r="BH20" s="41">
        <f>SUMIF('EXC. Kobelco SK-350'!$B$9:$B$76,Consolidado!BH18,'EXC. Kobelco SK-350'!$G$9:$G$76)</f>
        <v>0</v>
      </c>
      <c r="BI20" s="41">
        <f>SUMIF('EXC. Kobelco SK-350'!$B$9:$B$76,Consolidado!BI18,'EXC. Kobelco SK-350'!$G$9:$G$76)</f>
        <v>70.03</v>
      </c>
      <c r="BJ20" s="44">
        <f>SUMIF('EXC. Kobelco SK-350'!$B$9:$B$76,Consolidado!BJ18,'EXC. Kobelco SK-350'!$G$9:$G$76)</f>
        <v>84</v>
      </c>
      <c r="BK20" s="41">
        <f>SUMIF('EXC. Kobelco SK-350'!$B$9:$B$76,Consolidado!BK18,'EXC. Kobelco SK-350'!$G$9:$G$76)</f>
        <v>0</v>
      </c>
      <c r="BL20" s="44">
        <f>SUMIF('EXC. Kobelco SK-350'!$B$9:$B$76,Consolidado!BL18,'EXC. Kobelco SK-350'!$G$9:$G$76)</f>
        <v>66</v>
      </c>
      <c r="BM20" s="95">
        <f>SUMIF('EXC. Kobelco SK-350'!$B$9:$B$76,Consolidado!BM18,'EXC. Kobelco SK-350'!$G$9:$G$76)</f>
        <v>62</v>
      </c>
      <c r="BN20" s="95">
        <f>SUMIF('EXC. Kobelco SK-350'!$B$9:$B$76,Consolidado!BN18,'EXC. Kobelco SK-350'!$G$9:$G$76)</f>
        <v>69</v>
      </c>
      <c r="BO20" s="95">
        <f>SUMIF('EXC. Kobelco SK-350'!$B$9:$B$76,Consolidado!BO18,'EXC. Kobelco SK-350'!$G$9:$G$76)</f>
        <v>40</v>
      </c>
      <c r="BP20" s="95">
        <f>SUMIF('EXC. Kobelco SK-350'!$B$9:$B$76,Consolidado!BP18,'EXC. Kobelco SK-350'!$G$9:$G$76)</f>
        <v>110</v>
      </c>
      <c r="BQ20" s="95">
        <f>SUMIF('EXC. Kobelco SK-350'!$B$9:$B$76,Consolidado!BQ18,'EXC. Kobelco SK-350'!$G$9:$G$76)</f>
        <v>0</v>
      </c>
      <c r="BR20" s="95">
        <f>SUMIF('EXC. Kobelco SK-350'!$B$9:$B$76,Consolidado!BR18,'EXC. Kobelco SK-350'!$G$9:$G$76)</f>
        <v>49</v>
      </c>
      <c r="BS20" s="95">
        <f>SUMIF('EXC. Kobelco SK-350'!$B$9:$B$76,Consolidado!BS18,'EXC. Kobelco SK-350'!$G$9:$G$76)</f>
        <v>66</v>
      </c>
      <c r="BT20" s="95">
        <f>SUMIF('EXC. Kobelco SK-350'!$B$9:$B$76,Consolidado!BT18,'EXC. Kobelco SK-350'!$G$9:$G$76)</f>
        <v>0</v>
      </c>
      <c r="BU20" s="82">
        <f t="shared" ref="BU20:BU23" si="1">SUM(C20:BT20)</f>
        <v>1550.175</v>
      </c>
    </row>
    <row r="21" spans="1:73">
      <c r="A21" s="64">
        <v>2</v>
      </c>
      <c r="B21" s="77" t="s">
        <v>26</v>
      </c>
      <c r="C21" s="41"/>
      <c r="D21" s="41">
        <f>SUMIF('EXC. DOOSAN'!$B$10:$B$70,Consolidado!D18,'EXC. DOOSAN'!$G$10:$G$70)</f>
        <v>0</v>
      </c>
      <c r="E21" s="41">
        <f>SUMIF('EXC. DOOSAN'!$B$10:$B$70,Consolidado!E18,'EXC. DOOSAN'!$G$10:$G$70)</f>
        <v>0</v>
      </c>
      <c r="F21" s="41">
        <f>SUMIF('EXC. DOOSAN'!$B$10:$B$70,Consolidado!F18,'EXC. DOOSAN'!$G$10:$G$70)</f>
        <v>0</v>
      </c>
      <c r="G21" s="41">
        <f>SUMIF('EXC. DOOSAN'!$B$10:$B$70,Consolidado!G18,'EXC. DOOSAN'!$G$10:$G$70)</f>
        <v>17.260000000000002</v>
      </c>
      <c r="H21" s="95">
        <f>SUMIF('EXC. DOOSAN'!$B$10:$B$70,Consolidado!H18,'EXC. DOOSAN'!$G$10:$G$70)</f>
        <v>108</v>
      </c>
      <c r="I21" s="41">
        <f>SUMIF('EXC. DOOSAN'!$B$10:$B$70,Consolidado!I18,'EXC. DOOSAN'!$G$10:$G$70)</f>
        <v>0</v>
      </c>
      <c r="J21" s="41">
        <f>SUMIF('EXC. DOOSAN'!$B$10:$B$70,Consolidado!J18,'EXC. DOOSAN'!$G$10:$G$70)</f>
        <v>157.267</v>
      </c>
      <c r="K21" s="41">
        <f>SUMIF('EXC. DOOSAN'!$B$10:$B$70,Consolidado!K18,'EXC. DOOSAN'!$G$10:$G$70)</f>
        <v>0</v>
      </c>
      <c r="L21" s="41">
        <f>SUMIF('EXC. DOOSAN'!$B$10:$B$70,Consolidado!L18,'EXC. DOOSAN'!$G$10:$G$70)</f>
        <v>94.3</v>
      </c>
      <c r="M21" s="41">
        <f>SUMIF('EXC. DOOSAN'!$B$10:$B$70,Consolidado!M18,'EXC. DOOSAN'!$G$10:$G$70)</f>
        <v>0</v>
      </c>
      <c r="N21" s="41">
        <f>SUMIF('EXC. DOOSAN'!$B$10:$B$70,Consolidado!N18,'EXC. DOOSAN'!$G$10:$G$70)</f>
        <v>39.99</v>
      </c>
      <c r="O21" s="41">
        <f>SUMIF('EXC. DOOSAN'!$B$10:$B$70,Consolidado!O18,'EXC. DOOSAN'!$G$10:$G$70)</f>
        <v>76</v>
      </c>
      <c r="P21" s="41"/>
      <c r="Q21" s="41">
        <f>SUMIF('EXC. DOOSAN'!$B$10:$B$70,Consolidado!Q18,'EXC. DOOSAN'!$G$10:$G$70)</f>
        <v>81.8</v>
      </c>
      <c r="R21" s="41">
        <f>SUMIF('EXC. DOOSAN'!$B$10:$B$70,Consolidado!R18,'EXC. DOOSAN'!$G$10:$G$70)</f>
        <v>83</v>
      </c>
      <c r="S21" s="41">
        <f>SUMIF('EXC. DOOSAN'!$B$10:$B$70,Consolidado!S18,'EXC. DOOSAN'!$G$10:$G$70)</f>
        <v>76</v>
      </c>
      <c r="T21" s="41">
        <f>SUMIF('EXC. DOOSAN'!$B$10:$B$70,Consolidado!T18,'EXC. DOOSAN'!$G$10:$G$70)</f>
        <v>0</v>
      </c>
      <c r="U21" s="41">
        <f>SUMIF('EXC. DOOSAN'!$B$10:$B$70,Consolidado!U18,'EXC. DOOSAN'!$G$10:$G$70)</f>
        <v>95.46</v>
      </c>
      <c r="V21" s="41">
        <f>SUMIF('EXC. DOOSAN'!$B$10:$B$70,Consolidado!V18,'EXC. DOOSAN'!$G$10:$G$70)</f>
        <v>62.48</v>
      </c>
      <c r="W21" s="41">
        <f>SUMIF('EXC. DOOSAN'!$B$10:$B$70,Consolidado!W18,'EXC. DOOSAN'!$G$10:$G$70)</f>
        <v>86.3</v>
      </c>
      <c r="X21" s="41">
        <f>SUMIF('EXC. DOOSAN'!$B$10:$B$70,Consolidado!X18,'EXC. DOOSAN'!$G$10:$G$70)</f>
        <v>0</v>
      </c>
      <c r="Y21" s="41">
        <f>SUMIF('EXC. DOOSAN'!$B$10:$B$70,Consolidado!Y18,'EXC. DOOSAN'!$G$10:$G$70)</f>
        <v>0</v>
      </c>
      <c r="Z21" s="41">
        <f>SUMIF('EXC. DOOSAN'!$B$10:$B$70,Consolidado!Z18,'EXC. DOOSAN'!$G$10:$G$70)</f>
        <v>46.19</v>
      </c>
      <c r="AA21" s="41">
        <f>SUMIF('EXC. DOOSAN'!$B$10:$B$70,Consolidado!AA18,'EXC. DOOSAN'!$G$10:$G$70)</f>
        <v>0</v>
      </c>
      <c r="AB21" s="41">
        <f>SUMIF('EXC. DOOSAN'!$B$10:$B$70,Consolidado!AB18,'EXC. DOOSAN'!$G$10:$G$70)</f>
        <v>54.43</v>
      </c>
      <c r="AC21" s="41">
        <f>SUMIF('EXC. DOOSAN'!$B$10:$B$70,Consolidado!AC18,'EXC. DOOSAN'!$G$10:$G$70)</f>
        <v>76.72</v>
      </c>
      <c r="AD21" s="41">
        <f>SUMIF('EXC. DOOSAN'!$B$10:$B$70,Consolidado!AD18,'EXC. DOOSAN'!$G$10:$G$70)</f>
        <v>43.48</v>
      </c>
      <c r="AE21" s="41">
        <f>SUMIF('EXC. DOOSAN'!$B$10:$B$70,Consolidado!AE18,'EXC. DOOSAN'!$G$10:$G$70)</f>
        <v>110</v>
      </c>
      <c r="AF21" s="41">
        <f>SUMIF('EXC. DOOSAN'!$B$10:$B$70,Consolidado!AF18,'EXC. DOOSAN'!$G$10:$G$70)</f>
        <v>90</v>
      </c>
      <c r="AG21" s="41">
        <f>SUMIF('EXC. DOOSAN'!$B$10:$B$70,Consolidado!AG18,'EXC. DOOSAN'!$G$10:$G$70)</f>
        <v>0</v>
      </c>
      <c r="AH21" s="41">
        <f>SUMIF('EXC. DOOSAN'!$B$10:$B$70,Consolidado!AH18,'EXC. DOOSAN'!$G$10:$G$70)</f>
        <v>0</v>
      </c>
      <c r="AI21" s="41"/>
      <c r="AJ21" s="41"/>
      <c r="AK21" s="41"/>
      <c r="AL21" s="41"/>
      <c r="AM21" s="41"/>
      <c r="AN21" s="41"/>
      <c r="AO21" s="41"/>
      <c r="AP21" s="41"/>
      <c r="AQ21" s="41">
        <f>SUMIF('EXC. DOOSAN'!$B$10:$B$70,Consolidado!AQ18,'EXC. DOOSAN'!$G$10:$G$70)</f>
        <v>0</v>
      </c>
      <c r="AR21" s="41">
        <f>SUMIF('EXC. DOOSAN'!$B$10:$B$70,Consolidado!AR18,'EXC. DOOSAN'!$G$10:$G$70)</f>
        <v>0</v>
      </c>
      <c r="AS21" s="41">
        <f>SUMIF('EXC. DOOSAN'!$B$10:$B$70,Consolidado!AS18,'EXC. DOOSAN'!$G$10:$G$70)</f>
        <v>0</v>
      </c>
      <c r="AT21" s="41"/>
      <c r="AU21" s="41"/>
      <c r="AV21" s="41"/>
      <c r="AW21" s="41"/>
      <c r="AX21" s="41"/>
      <c r="AY21" s="41"/>
      <c r="AZ21" s="41"/>
      <c r="BA21" s="41"/>
      <c r="BB21" s="41">
        <f>SUMIF('EXC. DOOSAN'!$B$10:$B$70,Consolidado!BB18,'EXC. DOOSAN'!$G$10:$G$70)</f>
        <v>0</v>
      </c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95"/>
      <c r="BN21" s="95"/>
      <c r="BO21" s="95"/>
      <c r="BP21" s="95"/>
      <c r="BQ21" s="95"/>
      <c r="BR21" s="41"/>
      <c r="BS21" s="41"/>
      <c r="BT21" s="41"/>
      <c r="BU21" s="82">
        <f t="shared" si="1"/>
        <v>1398.6770000000001</v>
      </c>
    </row>
    <row r="22" spans="1:73">
      <c r="A22" s="64">
        <v>3</v>
      </c>
      <c r="B22" s="144" t="s">
        <v>254</v>
      </c>
      <c r="C22" s="41"/>
      <c r="D22" s="41">
        <f>SUMIF('TRAC-D155 82081'!$B$10:$B$85,Consolidado!D$8,'TRAC-D155 82081'!$G$10:$G$85)</f>
        <v>0</v>
      </c>
      <c r="E22" s="41">
        <v>0</v>
      </c>
      <c r="F22" s="41">
        <v>0</v>
      </c>
      <c r="G22" s="44">
        <f>SUMIF('TRAC-D155 82081'!$B$10:$B$85,Consolidado!G$8,'TRAC-D155 82081'!$G$10:$G$85)</f>
        <v>79.550210000000007</v>
      </c>
      <c r="H22" s="95">
        <f>SUMIF('TRAC-D155 82081'!$B$10:$B$85,Consolidado!H$8,'TRAC-D155 82081'!$G$10:$G$85)</f>
        <v>36</v>
      </c>
      <c r="I22" s="41">
        <f>SUMIF('TRAC-D155 82081'!$B$10:$B$85,Consolidado!I$8,'TRAC-D155 82081'!$G$10:$G$85)</f>
        <v>0</v>
      </c>
      <c r="J22" s="41">
        <f>SUMIF('TRAC-D155 82081'!$B$10:$B$85,Consolidado!J$8,'TRAC-D155 82081'!$G$10:$G$85)</f>
        <v>109.7317</v>
      </c>
      <c r="K22" s="41">
        <f>SUMIF('TRAC-D155 82081'!$B$10:$B$85,Consolidado!K18,'TRAC-D155 82081'!$G$10:$G$85)</f>
        <v>30</v>
      </c>
      <c r="L22" s="41">
        <f>SUMIF('TRAC-D155 82081'!$B$10:$B$85,Consolidado!L18,'TRAC-D155 82081'!$G$10:$G$85)</f>
        <v>85.7</v>
      </c>
      <c r="M22" s="41">
        <f>SUMIF('TRAC-D155 82081'!$B$10:$B$85,Consolidado!M18,'TRAC-D155 82081'!$G$10:$G$85)</f>
        <v>0</v>
      </c>
      <c r="N22" s="41">
        <f>SUMIF('TRAC-D155 82081'!$B$10:$B$85,Consolidado!N18,'TRAC-D155 82081'!$G$10:$G$85)</f>
        <v>39.89</v>
      </c>
      <c r="O22" s="41">
        <f>SUMIF('TRAC-D155 82081'!$B$10:$B$85,Consolidado!O18,'TRAC-D155 82081'!$G$10:$G$85)</f>
        <v>104</v>
      </c>
      <c r="P22" s="41"/>
      <c r="Q22" s="41">
        <f>SUMIF('TRAC-D155 82081'!$B$10:$B$85,Consolidado!Q18,'TRAC-D155 82081'!$G$10:$G$85)</f>
        <v>67.91</v>
      </c>
      <c r="R22" s="41">
        <f>SUMIF('TRAC-D155 82081'!$B$10:$B$85,Consolidado!R18,'TRAC-D155 82081'!$G$10:$G$85)</f>
        <v>0</v>
      </c>
      <c r="S22" s="41">
        <f>SUMIF('TRAC-D155 82081'!$B$10:$B$85,Consolidado!S18,'TRAC-D155 82081'!$G$10:$G$85)</f>
        <v>0</v>
      </c>
      <c r="T22" s="41">
        <f>SUMIF('TRAC-D155 82081'!$B$10:$B$85,Consolidado!T18,'TRAC-D155 82081'!$G$10:$G$85)</f>
        <v>0</v>
      </c>
      <c r="U22" s="41">
        <f>SUMIF('TRAC-D155 82081'!$B$10:$B$85,Consolidado!U18,'TRAC-D155 82081'!$G$10:$G$85)</f>
        <v>0</v>
      </c>
      <c r="V22" s="41">
        <f>SUMIF('TRAC-D155 82081'!$B$10:$B$85,Consolidado!V18,'TRAC-D155 82081'!$G$10:$G$85)</f>
        <v>0</v>
      </c>
      <c r="W22" s="41">
        <f>SUMIF('TRAC-D155 82081'!$B$10:$B$85,Consolidado!W18,'TRAC-D155 82081'!$G$10:$G$85)</f>
        <v>0</v>
      </c>
      <c r="X22" s="41">
        <f>SUMIF('TRAC-D155 82081'!$B$10:$B$85,Consolidado!X18,'TRAC-D155 82081'!$G$10:$G$85)</f>
        <v>0</v>
      </c>
      <c r="Y22" s="41">
        <f>SUMIF('TRAC-D155 82081'!$B$10:$B$85,Consolidado!Y18,'TRAC-D155 82081'!$G$10:$G$85)</f>
        <v>0</v>
      </c>
      <c r="Z22" s="41">
        <f>SUMIF('TRAC-D155 82081'!$B$10:$B$85,Consolidado!Z18,'TRAC-D155 82081'!$G$10:$G$85)</f>
        <v>125.5</v>
      </c>
      <c r="AA22" s="41">
        <f>SUMIF('TRAC-D155 82081'!$B$10:$B$85,Consolidado!AA18,'TRAC-D155 82081'!$G$10:$G$85)</f>
        <v>117.41</v>
      </c>
      <c r="AB22" s="41">
        <f>SUMIF('TRAC-D155 82081'!$B$10:$B$85,Consolidado!AB18,'TRAC-D155 82081'!$G$10:$G$85)</f>
        <v>105.7</v>
      </c>
      <c r="AC22" s="41">
        <f>SUMIF('TRAC-D155 82081'!$B$10:$B$85,Consolidado!AC18,'TRAC-D155 82081'!$G$10:$G$85)</f>
        <v>122</v>
      </c>
      <c r="AD22" s="41">
        <f>SUMIF('TRAC-D155 82081'!$B$10:$B$85,Consolidado!AD18,'TRAC-D155 82081'!$G$10:$G$85)</f>
        <v>108.26</v>
      </c>
      <c r="AE22" s="41">
        <f>SUMIF('TRAC-D155 82081'!$B$10:$B$85,Consolidado!AE18,'TRAC-D155 82081'!$G$10:$G$85)</f>
        <v>102.68</v>
      </c>
      <c r="AF22" s="41">
        <f>SUMIF('TRAC-D155 82081'!$B$10:$B$85,Consolidado!AF18,'TRAC-D155 82081'!$G$10:$G$85)</f>
        <v>71.400000000000006</v>
      </c>
      <c r="AG22" s="41">
        <f>SUMIF('TRAC-D155 82081'!$B$10:$B$85,Consolidado!AG18,'TRAC-D155 82081'!$G$10:$G$85)</f>
        <v>113.86</v>
      </c>
      <c r="AH22" s="41">
        <f>SUMIF('TRAC-D155 82081'!$B$10:$B$85,Consolidado!AH18,'TRAC-D155 82081'!$G$10:$G$85)</f>
        <v>0</v>
      </c>
      <c r="AI22" s="41">
        <f>SUMIF('TRAC-D155 82081'!$B$10:$B$85,Consolidado!AI18,'TRAC-D155 82081'!$G$10:$G$85)</f>
        <v>0</v>
      </c>
      <c r="AJ22" s="41">
        <f>SUMIF('TRAC-D155 82081'!$B$10:$B$85,Consolidado!AJ18,'TRAC-D155 82081'!$G$10:$G$85)</f>
        <v>0</v>
      </c>
      <c r="AK22" s="41">
        <f>SUMIF('TRAC-D155 82081'!$B$10:$B$85,Consolidado!AK18,'TRAC-D155 82081'!$G$10:$G$85)</f>
        <v>0</v>
      </c>
      <c r="AL22" s="41">
        <f>SUMIF('TRAC-D155 82081'!$B$10:$B$85,Consolidado!AL18,'TRAC-D155 82081'!$G$10:$G$85)</f>
        <v>0</v>
      </c>
      <c r="AM22" s="41">
        <f>SUMIF('TRAC-D155 82081'!$B$10:$B$85,Consolidado!AM18,'TRAC-D155 82081'!$G$10:$G$85)</f>
        <v>0</v>
      </c>
      <c r="AN22" s="95">
        <f>SUMIF('TRAC-D155 82081'!$B$10:$B$85,Consolidado!AN18,'TRAC-D155 82081'!$G$10:$G$85)</f>
        <v>50</v>
      </c>
      <c r="AO22" s="41">
        <f>SUMIF('TRAC-D155 82081'!$B$10:$B$85,Consolidado!AO18,'TRAC-D155 82081'!$G$10:$G$85)</f>
        <v>0</v>
      </c>
      <c r="AP22" s="123">
        <f>SUMIF('TRAC-D155 82081'!$B$10:$B$85,Consolidado!AP18,'TRAC-D155 82081'!$G$10:$G$85)</f>
        <v>129.41</v>
      </c>
      <c r="AQ22" s="41">
        <f>SUMIF('TRAC-D155 82081'!$B$10:$B$85,Consolidado!AQ18,'TRAC-D155 82081'!$G$10:$G$85)</f>
        <v>73.8</v>
      </c>
      <c r="AR22" s="41">
        <f>SUMIF('TRAC-D155 82081'!$B$10:$B$85,Consolidado!AR18,'TRAC-D155 82081'!$G$10:$G$85)</f>
        <v>113.63</v>
      </c>
      <c r="AS22" s="41">
        <f>SUMIF('TRAC-D155 82081'!$B$10:$B$85,Consolidado!AS18,'TRAC-D155 82081'!$G$10:$G$85)</f>
        <v>48.2</v>
      </c>
      <c r="AT22" s="41">
        <f>SUMIF('TRAC-D155 82081'!$B$10:$B$85,Consolidado!AT18,'TRAC-D155 82081'!$G$10:$G$85)</f>
        <v>90</v>
      </c>
      <c r="AU22" s="41">
        <f>SUMIF('TRAC-D155 82081'!$B$10:$B$85,Consolidado!AU18,'TRAC-D155 82081'!$G$10:$G$85)</f>
        <v>86</v>
      </c>
      <c r="AV22" s="41">
        <f>SUMIF('TRAC-D155 82081'!$B$10:$B$85,Consolidado!AV18,'TRAC-D155 82081'!$G$10:$G$85)</f>
        <v>0</v>
      </c>
      <c r="AW22" s="41">
        <f>SUMIF('TRAC-D155 82081'!$B$10:$B$85,Consolidado!AW18,'TRAC-D155 82081'!$G$10:$G$85)</f>
        <v>118.85</v>
      </c>
      <c r="AX22" s="41">
        <f>SUMIF('TRAC-D155 82081'!$B$10:$B$85,Consolidado!AX18,'TRAC-D155 82081'!$G$10:$G$85)</f>
        <v>44.02</v>
      </c>
      <c r="AY22" s="41">
        <f>SUMIF('TRAC-D155 82081'!$B$10:$B$85,Consolidado!AY18,'TRAC-D155 82081'!$G$10:$G$85)</f>
        <v>130</v>
      </c>
      <c r="AZ22" s="41">
        <f>SUMIF('TRAC-D155 82081'!$B$10:$B$85,Consolidado!AZ18,'TRAC-D155 82081'!$G$10:$G$85)</f>
        <v>124.33</v>
      </c>
      <c r="BA22" s="41">
        <f>SUMIF('TRAC-D155 82081'!$B$10:$B$85,Consolidado!BA18,'TRAC-D155 82081'!$G$10:$G$85)</f>
        <v>107.27</v>
      </c>
      <c r="BB22" s="41">
        <f>SUMIF('TRAC-D155 82081'!$B$10:$B$85,Consolidado!BB18,'TRAC-D155 82081'!$G$10:$G$85)</f>
        <v>108.01</v>
      </c>
      <c r="BC22" s="41">
        <f>SUMIF('TRAC-D155 82081'!$B$10:$B$85,Consolidado!BC18,'TRAC-D155 82081'!$G$10:$G$85)</f>
        <v>127.64</v>
      </c>
      <c r="BD22" s="41">
        <f>SUMIF('TRAC-D155 82081'!$B$10:$B$85,Consolidado!BD18,'TRAC-D155 82081'!$G$10:$G$85)</f>
        <v>126.19</v>
      </c>
      <c r="BE22" s="41">
        <f>SUMIF('TRAC-D155 82081'!$B$10:$B$85,Consolidado!BE18,'TRAC-D155 82081'!$G$10:$G$85)</f>
        <v>241.58</v>
      </c>
      <c r="BF22" s="41">
        <f>SUMIF('TRAC-D155 82081'!$B$10:$B$85,Consolidado!BF18,'TRAC-D155 82081'!$G$10:$G$85)</f>
        <v>150.61000000000001</v>
      </c>
      <c r="BG22" s="41">
        <f>SUMIF('TRAC-D155 82081'!$B$10:$B$85,Consolidado!BG18,'TRAC-D155 82081'!$G$10:$G$85)</f>
        <v>56.32</v>
      </c>
      <c r="BH22" s="41">
        <f>SUMIF('TRAC-D155 82081'!$B$10:$B$85,Consolidado!BH18,'TRAC-D155 82081'!$G$10:$G$85)</f>
        <v>126.13</v>
      </c>
      <c r="BI22" s="41">
        <f>SUMIF('TRAC-D155 82081'!$B$10:$B$85,Consolidado!BI18,'TRAC-D155 82081'!$G$10:$G$85)</f>
        <v>124.28</v>
      </c>
      <c r="BJ22" s="44">
        <f>SUMIF('TRAC-D155 82081'!$B$10:$B$85,Consolidado!BJ18,'TRAC-D155 82081'!$G$10:$G$85)</f>
        <v>116</v>
      </c>
      <c r="BK22" s="41">
        <f>SUMIF('TRAC-D155 82081'!$B$10:$B$85,Consolidado!BK18,'TRAC-D155 82081'!$G$10:$G$85)</f>
        <v>0</v>
      </c>
      <c r="BL22" s="44">
        <f>SUMIF('TRAC-D155 82081'!$B$10:$B$85,Consolidado!BL18,'TRAC-D155 82081'!$G$10:$G$85)</f>
        <v>79</v>
      </c>
      <c r="BM22" s="95">
        <f>SUMIF('TRAC-D155 82081'!$B$10:$B$85,Consolidado!BM18,'TRAC-D155 82081'!$G$10:$G$85)</f>
        <v>81</v>
      </c>
      <c r="BN22" s="95">
        <f>SUMIF('TRAC-D155 82081'!$B$10:$B$85,Consolidado!BN18,'TRAC-D155 82081'!$G$10:$G$85)</f>
        <v>70</v>
      </c>
      <c r="BO22" s="95">
        <f>SUMIF('TRAC-D155 82081'!$B$10:$B$85,Consolidado!BO18,'TRAC-D155 82081'!$G$10:$G$85)</f>
        <v>93</v>
      </c>
      <c r="BP22" s="95">
        <f>SUMIF('TRAC-D155 82081'!$B$10:$B$85,Consolidado!BP18,'TRAC-D155 82081'!$G$10:$G$85)</f>
        <v>90</v>
      </c>
      <c r="BQ22" s="95">
        <f>SUMIF('TRAC-D155 82081'!$B$10:$B$85,Consolidado!BQ18,'TRAC-D155 82081'!$G$10:$G$85)</f>
        <v>0</v>
      </c>
      <c r="BR22" s="95">
        <f>SUMIF('TRAC-D155 82081'!$B$10:$B$85,Consolidado!BR18,'TRAC-D155 82081'!$G$10:$G$85)</f>
        <v>112</v>
      </c>
      <c r="BS22" s="95">
        <f>SUMIF('TRAC-D155 82081'!$B$10:$B$85,Consolidado!BS18,'TRAC-D155 82081'!$G$10:$G$85)</f>
        <v>0</v>
      </c>
      <c r="BT22" s="95">
        <f>SUMIF('TRAC-D155 82081'!$B$10:$B$85,Consolidado!BT18,'TRAC-D155 82081'!$G$10:$G$85)</f>
        <v>0</v>
      </c>
      <c r="BU22" s="82">
        <f t="shared" si="1"/>
        <v>4236.8619100000014</v>
      </c>
    </row>
    <row r="23" spans="1:73">
      <c r="A23" s="64">
        <v>4</v>
      </c>
      <c r="B23" s="144" t="s">
        <v>253</v>
      </c>
      <c r="C23" s="41"/>
      <c r="D23" s="41"/>
      <c r="E23" s="41"/>
      <c r="F23" s="41"/>
      <c r="G23" s="44"/>
      <c r="H23" s="95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4">
        <f>SUMIF('TRAC D-155 82071'!$B$9:$B$59,Consolidado!AH$18,'TRAC D-155 82071'!$G$9:$G$68)</f>
        <v>0</v>
      </c>
      <c r="AI23" s="44">
        <f>SUMIF('TRAC D-155 82071'!$B$9:$B$59,Consolidado!AI$18,'TRAC D-155 82071'!$G$9:$G$68)</f>
        <v>0</v>
      </c>
      <c r="AJ23" s="44">
        <f>SUMIF('TRAC D-155 82071'!$B$9:$B$59,Consolidado!AJ$18,'TRAC D-155 82071'!$G$9:$G$68)</f>
        <v>0</v>
      </c>
      <c r="AK23" s="44">
        <f>SUMIF('TRAC D-155 82071'!$B$9:$B$59,Consolidado!AK$18,'TRAC D-155 82071'!$G$9:$G$68)</f>
        <v>0</v>
      </c>
      <c r="AL23" s="44">
        <f>SUMIF('TRAC D-155 82071'!$B$9:$B$59,Consolidado!AL$18,'TRAC D-155 82071'!$G$9:$G$68)</f>
        <v>85</v>
      </c>
      <c r="AM23" s="44">
        <f>SUMIF('TRAC D-155 82071'!$B$9:$B$59,Consolidado!AM$18,'TRAC D-155 82071'!$G$9:$G$68)</f>
        <v>109.72</v>
      </c>
      <c r="AN23" s="95">
        <f>SUMIF('TRAC D-155 82071'!$B$9:$B$59,Consolidado!AN$18,'TRAC D-155 82071'!$G$9:$G$68)</f>
        <v>30</v>
      </c>
      <c r="AO23" s="44">
        <f>SUMIF('TRAC D-155 82071'!$B$9:$B$59,Consolidado!AO$18,'TRAC D-155 82071'!$G$9:$G$68)</f>
        <v>0</v>
      </c>
      <c r="AP23" s="44">
        <f>SUMIF('TRAC D-155 82071'!$B$9:$B$59,Consolidado!AP$18,'TRAC D-155 82071'!$G$9:$G$68)</f>
        <v>87.13</v>
      </c>
      <c r="AQ23" s="44">
        <f>SUMIF('TRAC D-155 82071'!$B$9:$B$59,Consolidado!AQ$18,'TRAC D-155 82071'!$G$9:$G$68)</f>
        <v>92.63</v>
      </c>
      <c r="AR23" s="44">
        <f>SUMIF('TRAC D-155 82071'!$B$9:$B$59,Consolidado!AR$18,'TRAC D-155 82071'!$G$9:$G$68)</f>
        <v>121.83</v>
      </c>
      <c r="AS23" s="44">
        <f>SUMIF('TRAC D-155 82071'!$B$9:$B$59,Consolidado!AS$18,'TRAC D-155 82071'!$G$9:$G$68)</f>
        <v>51.47</v>
      </c>
      <c r="AT23" s="44">
        <f>SUMIF('TRAC D-155 82071'!$B$9:$B$59,Consolidado!AT$18,'TRAC D-155 82071'!$G$9:$G$68)</f>
        <v>77</v>
      </c>
      <c r="AU23" s="44">
        <f>SUMIF('TRAC D-155 82071'!$B$9:$B$59,Consolidado!AU$18,'TRAC D-155 82071'!$G$9:$G$68)</f>
        <v>92.27</v>
      </c>
      <c r="AV23" s="44">
        <f>SUMIF('TRAC D-155 82071'!$B$9:$B$59,Consolidado!AV$18,'TRAC D-155 82071'!$G$9:$G$68)</f>
        <v>0</v>
      </c>
      <c r="AW23" s="44">
        <f>SUMIF('TRAC D-155 82071'!$B$9:$B$59,Consolidado!AW$18,'TRAC D-155 82071'!$G$9:$G$68)</f>
        <v>61.23</v>
      </c>
      <c r="AX23" s="44">
        <f>SUMIF('TRAC D-155 82071'!$B$9:$B$59,Consolidado!AX$18,'TRAC D-155 82071'!$G$9:$G$68)</f>
        <v>35.5</v>
      </c>
      <c r="AY23" s="44">
        <f>SUMIF('TRAC D-155 82071'!$B$9:$B$59,Consolidado!AY$18,'TRAC D-155 82071'!$G$9:$G$68)</f>
        <v>74</v>
      </c>
      <c r="AZ23" s="44">
        <f>SUMIF('TRAC D-155 82071'!$B$9:$B$59,Consolidado!AZ$18,'TRAC D-155 82071'!$G$9:$G$68)</f>
        <v>94.47</v>
      </c>
      <c r="BA23" s="44">
        <f>SUMIF('TRAC D-155 82071'!$B$9:$B$59,Consolidado!BA$18,'TRAC D-155 82071'!$G$9:$G$68)</f>
        <v>70.45</v>
      </c>
      <c r="BB23" s="44">
        <f>SUMIF('TRAC D-155 82071'!$B$9:$B$59,Consolidado!BB$18,'TRAC D-155 82071'!$G$9:$G$68)</f>
        <v>99.06</v>
      </c>
      <c r="BC23" s="44">
        <f>SUMIF('TRAC D-155 82071'!$B$9:$B$59,Consolidado!BC$18,'TRAC D-155 82071'!$G$9:$G$68)</f>
        <v>87.4</v>
      </c>
      <c r="BD23" s="44">
        <f>SUMIF('TRAC D-155 82071'!$B$9:$B$59,Consolidado!BD$18,'TRAC D-155 82071'!$G$9:$G$68)</f>
        <v>73.599999999999994</v>
      </c>
      <c r="BE23" s="44">
        <f>SUMIF('TRAC D-155 82071'!$B$9:$B$59,Consolidado!BE$18,'TRAC D-155 82071'!$G$9:$G$68)</f>
        <v>-102</v>
      </c>
      <c r="BF23" s="44">
        <f>SUMIF('TRAC D-155 82071'!$B$9:$B$59,Consolidado!BF$18,'TRAC D-155 82071'!$G$9:$G$68)</f>
        <v>103</v>
      </c>
      <c r="BG23" s="44">
        <f>SUMIF('TRAC D-155 82071'!$B$9:$B$59,Consolidado!BG$18,'TRAC D-155 82071'!$G$9:$G$68)</f>
        <v>113.21</v>
      </c>
      <c r="BH23" s="44">
        <f>SUMIF('TRAC D-155 82071'!$B$9:$B$59,Consolidado!BH$18,'TRAC D-155 82071'!$G$9:$G$68)</f>
        <v>68.108800000000002</v>
      </c>
      <c r="BI23" s="44">
        <f>SUMIF('TRAC D-155 82071'!$B$9:$B$68,Consolidado!BI$18,'TRAC D-155 82071'!$G$9:$G$68)</f>
        <v>94.3</v>
      </c>
      <c r="BJ23" s="44">
        <f>SUMIF('TRAC D-155 82071'!$B$9:$B$68,Consolidado!BJ$18,'TRAC D-155 82071'!$G$9:$G$68)</f>
        <v>79</v>
      </c>
      <c r="BK23" s="44">
        <f>SUMIF('TRAC D-155 82071'!$B$9:$B$68,Consolidado!BK$18,'TRAC D-155 82071'!$G$9:$G$68)</f>
        <v>0</v>
      </c>
      <c r="BL23" s="44">
        <f>SUMIF('TRAC D-155 82071'!$B$9:$B$68,Consolidado!BL$18,'TRAC D-155 82071'!$G$9:$G$68)</f>
        <v>93</v>
      </c>
      <c r="BM23" s="44">
        <f>SUMIF('TRAC D-155 82071'!$B$9:$B$68,Consolidado!BM$18,'TRAC D-155 82071'!$G$9:$G$68)</f>
        <v>108</v>
      </c>
      <c r="BN23" s="44">
        <f>SUMIF('TRAC D-155 82071'!$B$9:$B$68,Consolidado!BN$18,'TRAC D-155 82071'!$G$9:$G$68)</f>
        <v>89</v>
      </c>
      <c r="BO23" s="44">
        <f>SUMIF('TRAC D-155 82071'!$B$9:$B$68,Consolidado!BO$18,'TRAC D-155 82071'!$G$9:$G$68)</f>
        <v>66</v>
      </c>
      <c r="BP23" s="44">
        <f>SUMIF('TRAC D-155 82071'!$B$9:$B$68,Consolidado!BP$18,'TRAC D-155 82071'!$G$9:$G$68)</f>
        <v>76</v>
      </c>
      <c r="BQ23" s="44">
        <f>SUMIF('TRAC D-155 82071'!$B$9:$B$68,Consolidado!BQ$18,'TRAC D-155 82071'!$G$9:$G$68)</f>
        <v>0</v>
      </c>
      <c r="BR23" s="44">
        <f>SUMIF('TRAC D-155 82071'!$B$9:$B$68,Consolidado!BR$18,'TRAC D-155 82071'!$G$9:$G$68)</f>
        <v>114</v>
      </c>
      <c r="BS23" s="44">
        <f>SUMIF('TRAC D-155 82071'!$B$9:$B$68,Consolidado!BS$18,'TRAC D-155 82071'!$G$9:$G$68)</f>
        <v>66</v>
      </c>
      <c r="BT23" s="44">
        <f>SUMIF('TRAC D-155 82071'!$B$9:$B$68,Consolidado!BT$18,'TRAC D-155 82071'!$G$9:$G$68)</f>
        <v>0</v>
      </c>
      <c r="BU23" s="82">
        <f t="shared" si="1"/>
        <v>2310.3788</v>
      </c>
    </row>
    <row r="24" spans="1:73">
      <c r="A24" s="64">
        <v>5</v>
      </c>
      <c r="B24" s="89" t="s">
        <v>66</v>
      </c>
      <c r="C24" s="41"/>
      <c r="D24" s="44"/>
      <c r="E24" s="44"/>
      <c r="F24" s="44"/>
      <c r="G24" s="41">
        <f>SUMIF('TRAC D-komatsu'!$B$10:$B$49,Consolidado!G$8,'TRAC D-komatsu'!$G$10:$G$49)</f>
        <v>104</v>
      </c>
      <c r="H24" s="41">
        <f>SUMIF('TRAC D-komatsu'!$B$10:$B$49,Consolidado!H$8,'TRAC D-komatsu'!$G$10:$G$49)</f>
        <v>34.520000000000003</v>
      </c>
      <c r="I24" s="41">
        <f>SUMIF('TRAC D-komatsu'!$B$10:$B$49,Consolidado!I$8,'TRAC D-komatsu'!$G$10:$G$49)</f>
        <v>0</v>
      </c>
      <c r="J24" s="41">
        <f>SUMIF('TRAC D-komatsu'!$B$10:$B$49,Consolidado!J$8,'TRAC D-komatsu'!$G$10:$G$49)</f>
        <v>106.33331</v>
      </c>
      <c r="K24" s="41">
        <f>SUMIF('TRAC D-komatsu'!$B$10:$B$49,Consolidado!K$8,'TRAC D-komatsu'!$G$10:$G$49)</f>
        <v>120</v>
      </c>
      <c r="L24" s="41">
        <f>SUMIF('TRAC D-komatsu'!$B$10:$B$49,Consolidado!L$8,'TRAC D-komatsu'!$G$10:$G$49)</f>
        <v>0</v>
      </c>
      <c r="M24" s="41">
        <f>SUMIF('TRAC D-komatsu'!$B$10:$B$49,Consolidado!M$8,'TRAC D-komatsu'!$G$10:$G$49)</f>
        <v>0</v>
      </c>
      <c r="N24" s="44">
        <f>SUMIF('TRAC D-komatsu'!$B$10:$B$49,Consolidado!N$8,'TRAC D-komatsu'!$G$10:$G$49)</f>
        <v>40.122</v>
      </c>
      <c r="O24" s="41">
        <f>SUMIF('TRAC D-komatsu'!$B$10:$B$49,Consolidado!O$8,'TRAC D-komatsu'!$G$10:$G$49)</f>
        <v>0</v>
      </c>
      <c r="P24" s="41"/>
      <c r="Q24" s="41">
        <f>SUMIF('TRAC D-komatsu'!$B$10:$B$49,Consolidado!Q$8,'TRAC D-komatsu'!$G$10:$G$49)</f>
        <v>127.46</v>
      </c>
      <c r="R24" s="41">
        <f>SUMIF('TRAC D-komatsu'!$B$10:$B$49,Consolidado!R$8,'TRAC D-komatsu'!$G$10:$G$49)</f>
        <v>70</v>
      </c>
      <c r="S24" s="41">
        <f>SUMIF('TRAC D-komatsu'!$B$10:$B$49,Consolidado!S$8,'TRAC D-komatsu'!$G$10:$G$49)</f>
        <v>89</v>
      </c>
      <c r="T24" s="41">
        <f>SUMIF('TRAC D-komatsu'!$B$10:$B$49,Consolidado!T$8,'TRAC D-komatsu'!$G$10:$G$49)</f>
        <v>107.92</v>
      </c>
      <c r="U24" s="41">
        <f>SUMIF('TRAC D-komatsu'!$B$10:$B$49,Consolidado!U$8,'TRAC D-komatsu'!$G$10:$G$49)</f>
        <v>111.23</v>
      </c>
      <c r="V24" s="41">
        <f>SUMIF('TRAC D-komatsu'!$B$10:$B$49,Consolidado!V$8,'TRAC D-komatsu'!$G$10:$G$49)</f>
        <v>93.16</v>
      </c>
      <c r="W24" s="41">
        <f>SUMIF('TRAC D-komatsu'!$B$10:$B$49,Consolidado!W$8,'TRAC D-komatsu'!$G$10:$G$49)</f>
        <v>103.4</v>
      </c>
      <c r="X24" s="41">
        <f>SUMIF('TRAC D-komatsu'!$B$10:$B$49,Consolidado!X$8,'TRAC D-komatsu'!$G$10:$G$49)</f>
        <v>0</v>
      </c>
      <c r="Y24" s="41">
        <f>SUMIF('TRAC D-komatsu'!$B$10:$B$49,Consolidado!Y$8,'TRAC D-komatsu'!$G$10:$G$49)</f>
        <v>0</v>
      </c>
      <c r="Z24" s="41">
        <f>SUMIF('TRAC D-komatsu'!$B$10:$B$49,Consolidado!Z$8,'TRAC D-komatsu'!$G$10:$G$49)</f>
        <v>108.8</v>
      </c>
      <c r="AA24" s="41">
        <f>SUMIF('TRAC D-komatsu'!$B$10:$B$49,Consolidado!AA$8,'TRAC D-komatsu'!$G$10:$G$49)</f>
        <v>47.59</v>
      </c>
      <c r="AB24" s="41">
        <f>SUMIF('TRAC D-komatsu'!$B$10:$B$49,Consolidado!AB$8,'TRAC D-komatsu'!$G$10:$G$49)</f>
        <v>0</v>
      </c>
      <c r="AC24" s="41">
        <f>SUMIF('TRAC D-komatsu'!$B$10:$B$49,Consolidado!AC$8,'TRAC D-komatsu'!$G$10:$G$49)</f>
        <v>0</v>
      </c>
      <c r="AD24" s="41">
        <f>SUMIF('TRAC D-komatsu'!$B$10:$B$49,Consolidado!AD$8,'TRAC D-komatsu'!$G$10:$G$49)</f>
        <v>0</v>
      </c>
      <c r="AE24" s="41">
        <f>SUMIF('TRAC D-komatsu'!$B$10:$B$49,Consolidado!AE$8,'TRAC D-komatsu'!$G$10:$G$49)</f>
        <v>0</v>
      </c>
      <c r="AF24" s="41">
        <f>SUMIF('TRAC D-komatsu'!$B$10:$B$49,Consolidado!AF$8,'TRAC D-komatsu'!$G$10:$G$49)</f>
        <v>-71.400000000000006</v>
      </c>
      <c r="AG24" s="41">
        <f>SUMIF('TRAC D-komatsu'!$B$10:$B$49,Consolidado!AG$8,'TRAC D-komatsu'!$G$10:$G$49)</f>
        <v>0</v>
      </c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>
        <f>SUMIF('TRAC D-komatsu'!$B$10:$B$49,Consolidado!BA$8,'TRAC D-komatsu'!$G$10:$G$49)</f>
        <v>0</v>
      </c>
      <c r="BB24" s="41">
        <f>SUMIF('TRAC D-komatsu'!$B$10:$B$49,Consolidado!BB$8,'TRAC D-komatsu'!$G$10:$G$49)</f>
        <v>0</v>
      </c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82">
        <f>SUM(C24:BT24)</f>
        <v>1192.1353099999999</v>
      </c>
    </row>
    <row r="25" spans="1:73">
      <c r="A25" s="170" t="s">
        <v>22</v>
      </c>
      <c r="B25" s="171"/>
      <c r="C25" s="81">
        <f t="shared" ref="C25:AC25" si="2">SUM(C21:C24)</f>
        <v>0</v>
      </c>
      <c r="D25" s="81">
        <f t="shared" si="2"/>
        <v>0</v>
      </c>
      <c r="E25" s="81">
        <f t="shared" si="2"/>
        <v>0</v>
      </c>
      <c r="F25" s="81">
        <f t="shared" si="2"/>
        <v>0</v>
      </c>
      <c r="G25" s="82">
        <f t="shared" si="2"/>
        <v>200.81021000000001</v>
      </c>
      <c r="H25" s="81">
        <f t="shared" si="2"/>
        <v>178.52</v>
      </c>
      <c r="I25" s="81">
        <f t="shared" si="2"/>
        <v>0</v>
      </c>
      <c r="J25" s="81">
        <f t="shared" si="2"/>
        <v>373.33200999999997</v>
      </c>
      <c r="K25" s="81">
        <f t="shared" si="2"/>
        <v>150</v>
      </c>
      <c r="L25" s="81">
        <f t="shared" si="2"/>
        <v>180</v>
      </c>
      <c r="M25" s="81">
        <f t="shared" si="2"/>
        <v>0</v>
      </c>
      <c r="N25" s="81">
        <f t="shared" si="2"/>
        <v>120.002</v>
      </c>
      <c r="O25" s="81">
        <f t="shared" si="2"/>
        <v>180</v>
      </c>
      <c r="P25" s="81"/>
      <c r="Q25" s="81">
        <f t="shared" si="2"/>
        <v>277.16999999999996</v>
      </c>
      <c r="R25" s="81">
        <f t="shared" si="2"/>
        <v>153</v>
      </c>
      <c r="S25" s="81">
        <f t="shared" si="2"/>
        <v>165</v>
      </c>
      <c r="T25" s="81">
        <f t="shared" si="2"/>
        <v>107.92</v>
      </c>
      <c r="U25" s="81">
        <f t="shared" si="2"/>
        <v>206.69</v>
      </c>
      <c r="V25" s="81">
        <f t="shared" si="2"/>
        <v>155.63999999999999</v>
      </c>
      <c r="W25" s="81">
        <f t="shared" si="2"/>
        <v>189.7</v>
      </c>
      <c r="X25" s="81">
        <f t="shared" si="2"/>
        <v>0</v>
      </c>
      <c r="Y25" s="81">
        <f t="shared" si="2"/>
        <v>0</v>
      </c>
      <c r="Z25" s="81">
        <f t="shared" si="2"/>
        <v>280.49</v>
      </c>
      <c r="AA25" s="81">
        <f t="shared" si="2"/>
        <v>165</v>
      </c>
      <c r="AB25" s="81">
        <f t="shared" si="2"/>
        <v>160.13</v>
      </c>
      <c r="AC25" s="81">
        <f t="shared" si="2"/>
        <v>198.72</v>
      </c>
      <c r="AD25" s="81">
        <f t="shared" ref="AD25:AE25" si="3">SUM(AD20:AD24)</f>
        <v>233.15500000000003</v>
      </c>
      <c r="AE25" s="81">
        <f t="shared" si="3"/>
        <v>94.68</v>
      </c>
      <c r="AF25" s="81">
        <f>SUM(AF20:AF24)</f>
        <v>90</v>
      </c>
      <c r="AG25" s="81">
        <f>SUM(AG20:AG24)</f>
        <v>151.30000000000001</v>
      </c>
      <c r="AH25" s="81">
        <f t="shared" ref="AH25:AK25" si="4">SUM(AH20:AH24)</f>
        <v>0</v>
      </c>
      <c r="AI25" s="81">
        <f t="shared" si="4"/>
        <v>0</v>
      </c>
      <c r="AJ25" s="81">
        <f t="shared" si="4"/>
        <v>0</v>
      </c>
      <c r="AK25" s="81">
        <f t="shared" si="4"/>
        <v>0</v>
      </c>
      <c r="AL25" s="81">
        <f>SUM(AL20:AL24)</f>
        <v>165.11</v>
      </c>
      <c r="AM25" s="81">
        <f t="shared" ref="AM25:AY25" si="5">SUM(AM20:AM24)</f>
        <v>141.12</v>
      </c>
      <c r="AN25" s="81">
        <f>SUM(AN20:AN24)</f>
        <v>80</v>
      </c>
      <c r="AO25" s="81">
        <f t="shared" si="5"/>
        <v>0</v>
      </c>
      <c r="AP25" s="81">
        <f t="shared" si="5"/>
        <v>216.54</v>
      </c>
      <c r="AQ25" s="81">
        <f t="shared" si="5"/>
        <v>166.43</v>
      </c>
      <c r="AR25" s="81">
        <f t="shared" si="5"/>
        <v>235.45999999999998</v>
      </c>
      <c r="AS25" s="81">
        <f t="shared" si="5"/>
        <v>191.27</v>
      </c>
      <c r="AT25" s="81">
        <f t="shared" si="5"/>
        <v>207</v>
      </c>
      <c r="AU25" s="81">
        <f t="shared" si="5"/>
        <v>233.92000000000002</v>
      </c>
      <c r="AV25" s="81">
        <f t="shared" si="5"/>
        <v>0</v>
      </c>
      <c r="AW25" s="81">
        <f t="shared" si="5"/>
        <v>276.68</v>
      </c>
      <c r="AX25" s="81">
        <f t="shared" si="5"/>
        <v>124.03</v>
      </c>
      <c r="AY25" s="81">
        <f t="shared" si="5"/>
        <v>261.63</v>
      </c>
      <c r="AZ25" s="81">
        <f>SUM(AZ20:AZ24)</f>
        <v>274.22000000000003</v>
      </c>
      <c r="BA25" s="81">
        <f>SUM(BA20:BA24)</f>
        <v>256.96999999999997</v>
      </c>
      <c r="BB25" s="81">
        <f>SUM(BB20:BB24)</f>
        <v>278.34000000000003</v>
      </c>
      <c r="BC25" s="81">
        <f>SUM(BC20:BC24)</f>
        <v>277.60000000000002</v>
      </c>
      <c r="BD25" s="81">
        <f>SUM(BD20:BD24)</f>
        <v>254.89</v>
      </c>
      <c r="BE25" s="81">
        <f t="shared" ref="BE25:BN25" si="6">SUM(BE20:BE24)</f>
        <v>139.58000000000001</v>
      </c>
      <c r="BF25" s="81">
        <f t="shared" si="6"/>
        <v>365.8</v>
      </c>
      <c r="BG25" s="81">
        <f t="shared" si="6"/>
        <v>169.53</v>
      </c>
      <c r="BH25" s="81">
        <f t="shared" si="6"/>
        <v>194.2388</v>
      </c>
      <c r="BI25" s="81">
        <f t="shared" si="6"/>
        <v>288.61</v>
      </c>
      <c r="BJ25" s="81">
        <f t="shared" si="6"/>
        <v>279</v>
      </c>
      <c r="BK25" s="81">
        <f t="shared" si="6"/>
        <v>0</v>
      </c>
      <c r="BL25" s="82">
        <f>SUM(BL20:BL24)</f>
        <v>238</v>
      </c>
      <c r="BM25" s="81">
        <f t="shared" si="6"/>
        <v>251</v>
      </c>
      <c r="BN25" s="81">
        <f t="shared" si="6"/>
        <v>228</v>
      </c>
      <c r="BO25" s="143">
        <f>SUM(BO20:BO24)</f>
        <v>199</v>
      </c>
      <c r="BP25" s="143">
        <f t="shared" ref="BP25:BT25" si="7">SUM(BP20:BP24)</f>
        <v>276</v>
      </c>
      <c r="BQ25" s="143">
        <f t="shared" si="7"/>
        <v>0</v>
      </c>
      <c r="BR25" s="143">
        <f t="shared" si="7"/>
        <v>275</v>
      </c>
      <c r="BS25" s="143">
        <f t="shared" si="7"/>
        <v>132</v>
      </c>
      <c r="BT25" s="143">
        <f t="shared" si="7"/>
        <v>0</v>
      </c>
      <c r="BU25" s="83">
        <f>SUM(BU20:BU24)</f>
        <v>10688.22802</v>
      </c>
    </row>
    <row r="26" spans="1:73" s="1" customFormat="1" ht="18.75" customHeight="1">
      <c r="A26" s="2"/>
    </row>
    <row r="27" spans="1:73" s="1" customFormat="1" ht="12.75">
      <c r="A27" s="2"/>
      <c r="L27" s="88"/>
    </row>
    <row r="28" spans="1:73" ht="15" customHeight="1">
      <c r="A28" s="174" t="s">
        <v>24</v>
      </c>
      <c r="B28" s="174" t="s">
        <v>25</v>
      </c>
      <c r="C28" s="91"/>
      <c r="D28" s="168" t="s">
        <v>87</v>
      </c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137"/>
      <c r="BO28" s="137"/>
      <c r="BP28" s="142"/>
      <c r="BQ28" s="142"/>
      <c r="BR28" s="142"/>
      <c r="BS28" s="142"/>
      <c r="BT28" s="137"/>
      <c r="BU28" s="167" t="s">
        <v>28</v>
      </c>
    </row>
    <row r="29" spans="1:73" ht="22.5" customHeight="1">
      <c r="A29" s="174"/>
      <c r="B29" s="174"/>
      <c r="C29" s="63" t="s">
        <v>31</v>
      </c>
      <c r="D29" s="63">
        <v>45845</v>
      </c>
      <c r="E29" s="63">
        <v>45846</v>
      </c>
      <c r="F29" s="63">
        <v>45847</v>
      </c>
      <c r="G29" s="63">
        <v>45848</v>
      </c>
      <c r="H29" s="63">
        <v>45849</v>
      </c>
      <c r="I29" s="63">
        <v>45850</v>
      </c>
      <c r="J29" s="63">
        <v>45852</v>
      </c>
      <c r="K29" s="63">
        <v>45853</v>
      </c>
      <c r="L29" s="63">
        <v>45854</v>
      </c>
      <c r="M29" s="63">
        <v>45855</v>
      </c>
      <c r="N29" s="63">
        <v>45856</v>
      </c>
      <c r="O29" s="63">
        <v>45857</v>
      </c>
      <c r="P29" s="63">
        <v>45858</v>
      </c>
      <c r="Q29" s="63">
        <v>45859</v>
      </c>
      <c r="R29" s="63">
        <v>45860</v>
      </c>
      <c r="S29" s="63">
        <v>45861</v>
      </c>
      <c r="T29" s="63">
        <v>45862</v>
      </c>
      <c r="U29" s="63">
        <v>45863</v>
      </c>
      <c r="V29" s="63">
        <v>45864</v>
      </c>
      <c r="W29" s="63">
        <v>45868</v>
      </c>
      <c r="X29" s="63">
        <v>45869</v>
      </c>
      <c r="Y29" s="63">
        <v>45870</v>
      </c>
      <c r="Z29" s="63">
        <v>45871</v>
      </c>
      <c r="AA29" s="63">
        <v>45872</v>
      </c>
      <c r="AB29" s="63">
        <v>45873</v>
      </c>
      <c r="AC29" s="63">
        <v>45874</v>
      </c>
      <c r="AD29" s="63">
        <v>45875</v>
      </c>
      <c r="AE29" s="63">
        <v>45876</v>
      </c>
      <c r="AF29" s="63">
        <v>45877</v>
      </c>
      <c r="AG29" s="63">
        <v>45878</v>
      </c>
      <c r="AH29" s="63">
        <v>45879</v>
      </c>
      <c r="AI29" s="63">
        <v>45880</v>
      </c>
      <c r="AJ29" s="63">
        <v>45881</v>
      </c>
      <c r="AK29" s="63">
        <v>45882</v>
      </c>
      <c r="AL29" s="63">
        <v>45883</v>
      </c>
      <c r="AM29" s="63">
        <v>45884</v>
      </c>
      <c r="AN29" s="63">
        <v>45885</v>
      </c>
      <c r="AO29" s="63">
        <v>45886</v>
      </c>
      <c r="AP29" s="63">
        <v>45887</v>
      </c>
      <c r="AQ29" s="63">
        <v>45888</v>
      </c>
      <c r="AR29" s="63">
        <v>45889</v>
      </c>
      <c r="AS29" s="63">
        <v>45890</v>
      </c>
      <c r="AT29" s="63">
        <v>45891</v>
      </c>
      <c r="AU29" s="63">
        <v>45892</v>
      </c>
      <c r="AV29" s="63">
        <v>45893</v>
      </c>
      <c r="AW29" s="63">
        <v>45894</v>
      </c>
      <c r="AX29" s="63">
        <v>45895</v>
      </c>
      <c r="AY29" s="63">
        <v>45896</v>
      </c>
      <c r="AZ29" s="63">
        <v>45897</v>
      </c>
      <c r="BA29" s="63">
        <v>45898</v>
      </c>
      <c r="BB29" s="63">
        <v>45899</v>
      </c>
      <c r="BC29" s="63">
        <v>45900</v>
      </c>
      <c r="BD29" s="63">
        <v>45901</v>
      </c>
      <c r="BE29" s="63">
        <v>45902</v>
      </c>
      <c r="BF29" s="63">
        <v>45903</v>
      </c>
      <c r="BG29" s="63">
        <v>45904</v>
      </c>
      <c r="BH29" s="63">
        <v>45905</v>
      </c>
      <c r="BI29" s="63">
        <v>45906</v>
      </c>
      <c r="BJ29" s="63">
        <v>45907</v>
      </c>
      <c r="BK29" s="63">
        <v>45908</v>
      </c>
      <c r="BL29" s="63">
        <v>45909</v>
      </c>
      <c r="BM29" s="63">
        <v>45910</v>
      </c>
      <c r="BN29" s="63">
        <v>45911</v>
      </c>
      <c r="BO29" s="63">
        <v>45912</v>
      </c>
      <c r="BP29" s="63">
        <v>45913</v>
      </c>
      <c r="BQ29" s="63">
        <v>45914</v>
      </c>
      <c r="BR29" s="63">
        <v>45915</v>
      </c>
      <c r="BS29" s="63">
        <v>45916</v>
      </c>
      <c r="BT29" s="63">
        <v>45923</v>
      </c>
      <c r="BU29" s="167"/>
    </row>
    <row r="30" spans="1:73" ht="8.25" customHeight="1">
      <c r="A30" s="59"/>
      <c r="B30" s="42"/>
      <c r="C30" s="43"/>
      <c r="D30" s="43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</row>
    <row r="31" spans="1:73">
      <c r="A31" s="64">
        <v>1</v>
      </c>
      <c r="B31" s="110" t="s">
        <v>101</v>
      </c>
      <c r="C31" s="41"/>
      <c r="D31" s="41"/>
      <c r="E31" s="41"/>
      <c r="F31" s="41"/>
      <c r="G31" s="41"/>
      <c r="H31" s="41"/>
      <c r="I31" s="41"/>
      <c r="J31" s="41"/>
      <c r="K31" s="41"/>
      <c r="L31" s="41">
        <f>SUMIF('EXC-350PC'!$B$10:$B$80,Consolidado!L29,'EXC-350PC'!$G$10:$G$81)</f>
        <v>154.99</v>
      </c>
      <c r="M31" s="41">
        <f>SUMIF('EXC-350PC'!$B$10:$B$80,Consolidado!M29,'EXC-350PC'!$G$10:$G$81)</f>
        <v>50</v>
      </c>
      <c r="N31" s="41">
        <f>SUMIF('EXC-350PC'!$B$10:$B$80,Consolidado!N29,'EXC-350PC'!$G$10:$G$81)</f>
        <v>156.6448</v>
      </c>
      <c r="O31" s="41">
        <f>SUMIF('EXC-350PC'!$B$10:$B$80,Consolidado!O29,'EXC-350PC'!$G$10:$G$81)</f>
        <v>0</v>
      </c>
      <c r="P31" s="41"/>
      <c r="Q31" s="41">
        <f>SUMIF('EXC-350PC'!$B$10:$B$80,Consolidado!Q29,'EXC-350PC'!$G$10:$G$81)</f>
        <v>72.83</v>
      </c>
      <c r="R31" s="41">
        <f>SUMIF('EXC-350PC'!$B$10:$B$80,Consolidado!R29,'EXC-350PC'!$G$10:$G$81)</f>
        <v>70.36</v>
      </c>
      <c r="S31" s="41">
        <f>SUMIF('EXC-350PC'!$B$10:$B$80,Consolidado!S29,'EXC-350PC'!$G$10:$G$81)</f>
        <v>95</v>
      </c>
      <c r="T31" s="41">
        <f>SUMIF('EXC-350PC'!$B$10:$B$80,Consolidado!T29,'EXC-350PC'!$G$10:$G$81)</f>
        <v>119.82</v>
      </c>
      <c r="U31" s="41">
        <f>SUMIF('EXC-350PC'!$B$10:$B$80,Consolidado!U29,'EXC-350PC'!$G$10:$G$81)</f>
        <v>118.76</v>
      </c>
      <c r="V31" s="41">
        <f>SUMIF('EXC-350PC'!$B$10:$B$80,Consolidado!V29,'EXC-350PC'!$G$10:$G$81)</f>
        <v>124.36</v>
      </c>
      <c r="W31" s="41">
        <f>SUMIF('EXC-350PC'!$B$10:$B$80,Consolidado!W29,'EXC-350PC'!$G$10:$G$81)</f>
        <v>82</v>
      </c>
      <c r="X31" s="41">
        <f>SUMIF('EXC-350PC'!$B$10:$B$80,Consolidado!X29,'EXC-350PC'!$G$10:$G$81)</f>
        <v>101.47</v>
      </c>
      <c r="Y31" s="41">
        <f>SUMIF('EXC-350PC'!$B$10:$B$80,Consolidado!Y29,'EXC-350PC'!$G$10:$G$81)</f>
        <v>0</v>
      </c>
      <c r="Z31" s="41">
        <f>SUMIF('EXC-350PC'!$B$10:$B$80,Consolidado!Z29,'EXC-350PC'!$G$10:$G$81)</f>
        <v>116.75</v>
      </c>
      <c r="AA31" s="41">
        <f>SUMIF('EXC-350PC'!$B$10:$B$80,Consolidado!AA29,'EXC-350PC'!$G$10:$G$81)</f>
        <v>167.78100000000001</v>
      </c>
      <c r="AB31" s="41">
        <f>SUMIF('EXC-350PC'!$B$10:$B$80,Consolidado!AB29,'EXC-350PC'!$G$10:$G$81)</f>
        <v>76.95</v>
      </c>
      <c r="AC31" s="41">
        <f>SUMIF('EXC-350PC'!$B$10:$B$80,Consolidado!AC29,'EXC-350PC'!$G$10:$G$81)</f>
        <v>99.88</v>
      </c>
      <c r="AD31" s="41">
        <f>SUMIF('EXC-350PC'!$B$10:$B$80,Consolidado!AD29,'EXC-350PC'!$G$10:$G$81)</f>
        <v>0</v>
      </c>
      <c r="AE31" s="41">
        <f>SUMIF('EXC-350PC'!$B$10:$B$80,Consolidado!AE29,'EXC-350PC'!$G$10:$G$81)</f>
        <v>125.77</v>
      </c>
      <c r="AF31" s="41">
        <f>SUMIF('EXC-350PC'!$B$10:$B$81,Consolidado!AF29,'EXC-350PC'!$G$10:$G$81)</f>
        <v>0</v>
      </c>
      <c r="AG31" s="41">
        <f>SUMIF('EXC-350PC'!$B$10:$B$80,Consolidado!AG29,'EXC-350PC'!$G$10:$G$81)</f>
        <v>121.7</v>
      </c>
      <c r="AH31" s="41">
        <f>SUMIF('EXC-350PC'!$B$10:$B$80,Consolidado!AH29,'EXC-350PC'!$G$10:$G$81)</f>
        <v>0</v>
      </c>
      <c r="AI31" s="41">
        <f>SUMIF('EXC-350PC'!$B$10:$B$80,Consolidado!AI29,'EXC-350PC'!$G$10:$G$81)</f>
        <v>0</v>
      </c>
      <c r="AJ31" s="41">
        <f>SUMIF('EXC-350PC'!$B$10:$B$80,Consolidado!AJ29,'EXC-350PC'!$G$10:$G$81)</f>
        <v>207.26</v>
      </c>
      <c r="AK31" s="41">
        <f>SUMIF('EXC-350PC'!$B$10:$B$80,Consolidado!AK29,'EXC-350PC'!$G$10:$G$81)</f>
        <v>0</v>
      </c>
      <c r="AL31" s="41">
        <f>SUMIF('EXC-350PC'!$B$10:$B$80,Consolidado!AL29,'EXC-350PC'!$G$10:$G$81)</f>
        <v>91.63</v>
      </c>
      <c r="AM31" s="41">
        <f>SUMIF('EXC-350PC'!$B$10:$B$80,Consolidado!AM29,'EXC-350PC'!$G$10:$G$81)</f>
        <v>91.4</v>
      </c>
      <c r="AN31" s="41">
        <f>SUMIF('EXC-350PC'!$B$10:$B$80,Consolidado!AN29,'EXC-350PC'!$G$10:$G$81)</f>
        <v>119</v>
      </c>
      <c r="AO31" s="41">
        <f>SUMIF('EXC-350PC'!$B$10:$B$80,Consolidado!AO29,'EXC-350PC'!$G$10:$G$81)</f>
        <v>0</v>
      </c>
      <c r="AP31" s="95">
        <f>SUMIF('EXC-350PC'!$B$10:$B$80,Consolidado!AP29,'EXC-350PC'!$G$10:$G$81)</f>
        <v>89</v>
      </c>
      <c r="AQ31" s="41">
        <f>SUMIF('EXC-350PC'!$B$10:$B$80,Consolidado!AQ29,'EXC-350PC'!$G$10:$G$81)</f>
        <v>67.260000000000005</v>
      </c>
      <c r="AR31" s="41">
        <f>SUMIF('EXC-350PC'!$B$10:$B$80,Consolidado!AR29,'EXC-350PC'!$G$10:$G$81)</f>
        <v>91</v>
      </c>
      <c r="AS31" s="41">
        <f>SUMIF('EXC-350PC'!$B$10:$B$80,Consolidado!AS29,'EXC-350PC'!$G$10:$G$81)</f>
        <v>0</v>
      </c>
      <c r="AT31" s="41">
        <f>SUMIF('EXC-350PC'!$B$10:$B$80,Consolidado!AT29,'EXC-350PC'!$G$10:$G$81)</f>
        <v>100.6</v>
      </c>
      <c r="AU31" s="41">
        <f>SUMIF('EXC-350PC'!$B$10:$B$80,Consolidado!AU29,'EXC-350PC'!$G$10:$G$81)</f>
        <v>50.16</v>
      </c>
      <c r="AV31" s="41">
        <f>SUMIF('EXC-350PC'!$B$10:$B$80,Consolidado!AV29,'EXC-350PC'!$G$10:$G$81)</f>
        <v>0</v>
      </c>
      <c r="AW31" s="41">
        <f>SUMIF('EXC-350PC'!$B$10:$B$80,Consolidado!AW29,'EXC-350PC'!$G$10:$G$81)</f>
        <v>54.9</v>
      </c>
      <c r="AX31" s="41">
        <f>SUMIF('EXC-350PC'!$B$10:$B$80,Consolidado!AX29,'EXC-350PC'!$G$10:$G$81)</f>
        <v>67.8</v>
      </c>
      <c r="AY31" s="41">
        <f>SUMIF('EXC-350PC'!$B$10:$B$80,Consolidado!AY29,'EXC-350PC'!$G$10:$G$81)</f>
        <v>100.11</v>
      </c>
      <c r="AZ31" s="41">
        <f>SUMIF('EXC-350PC'!$B$10:$B$80,Consolidado!AZ29,'EXC-350PC'!$G$10:$G$81)</f>
        <v>77.11</v>
      </c>
      <c r="BA31" s="41">
        <f>SUMIF('EXC-350PC'!$B$10:$B$80,Consolidado!BA29,'EXC-350PC'!$G$10:$G$81)</f>
        <v>60.82</v>
      </c>
      <c r="BB31" s="41">
        <f>SUMIF('EXC-350PC'!$B$10:$B$80,Consolidado!BB29,'EXC-350PC'!$G$10:$G$81)</f>
        <v>0</v>
      </c>
      <c r="BC31" s="41">
        <f>SUMIF('EXC-350PC'!$B$10:$B$80,Consolidado!BC29,'EXC-350PC'!$G$10:$G$81)</f>
        <v>50.34</v>
      </c>
      <c r="BD31" s="41">
        <f>SUMIF('EXC-350PC'!$B$10:$B$80,Consolidado!BD29,'EXC-350PC'!$G$10:$G$81)</f>
        <v>0</v>
      </c>
      <c r="BE31" s="41">
        <f>SUMIF('EXC-350PC'!$B$10:$B$80,Consolidado!BE29,'EXC-350PC'!$G$10:$G$81)</f>
        <v>66</v>
      </c>
      <c r="BF31" s="41">
        <f>SUMIF('EXC-350PC'!$B$10:$B$80,Consolidado!BF29,'EXC-350PC'!$G$10:$G$81)</f>
        <v>0</v>
      </c>
      <c r="BG31" s="41">
        <f>SUMIF('EXC-350PC'!$B$10:$B$80,Consolidado!BG29,'EXC-350PC'!$G$10:$G$81)</f>
        <v>98.05</v>
      </c>
      <c r="BH31" s="41">
        <f>SUMIF('EXC-350PC'!$B$10:$B$80,Consolidado!BH29,'EXC-350PC'!$G$10:$G$81)</f>
        <v>90.16</v>
      </c>
      <c r="BI31" s="41">
        <f>SUMIF('EXC-350PC'!$B$10:$B$80,Consolidado!BI29,'EXC-350PC'!$G$10:$G$81)</f>
        <v>0</v>
      </c>
      <c r="BJ31" s="41">
        <f>SUMIF('EXC-350PC'!$B$10:$B$80,Consolidado!BJ29,'EXC-350PC'!$G$10:$G$81)</f>
        <v>109</v>
      </c>
      <c r="BK31" s="41">
        <f>SUMIF('EXC-350PC'!$B$10:$B$80,Consolidado!BK29,'EXC-350PC'!$G$10:$G$81)</f>
        <v>0</v>
      </c>
      <c r="BL31" s="41">
        <f>SUMIF('EXC-350PC'!$B$10:$B$80,Consolidado!BL29,'EXC-350PC'!$G$10:$G$81)</f>
        <v>109</v>
      </c>
      <c r="BM31" s="41">
        <f>SUMIF('EXC-350PC'!$B$10:$B$80,Consolidado!BM29,'EXC-350PC'!$G$10:$G$81)</f>
        <v>76</v>
      </c>
      <c r="BN31" s="41">
        <f>SUMIF('EXC-350PC'!$B$10:$B$80,Consolidado!BN29,'EXC-350PC'!$G$10:$G$81)</f>
        <v>0</v>
      </c>
      <c r="BO31" s="41">
        <f>SUMIF('EXC-350PC'!$B$10:$B$80,Consolidado!BO29,'EXC-350PC'!$G$10:$G$81)</f>
        <v>101</v>
      </c>
      <c r="BP31" s="41">
        <f>SUMIF('EXC-350PC'!$B$10:$B$80,Consolidado!BP29,'EXC-350PC'!$G$10:$G$81)</f>
        <v>135</v>
      </c>
      <c r="BQ31" s="41">
        <f>SUMIF('EXC-350PC'!$B$10:$B$80,Consolidado!BQ29,'EXC-350PC'!$G$10:$G$81)</f>
        <v>0</v>
      </c>
      <c r="BR31" s="95">
        <f>SUMIF('EXC-350PC'!$B$10:$B$80,Consolidado!BR29,'EXC-350PC'!$G$10:$G$81)</f>
        <v>123</v>
      </c>
      <c r="BS31" s="95">
        <f>SUMIF('EXC-350PC'!$B$10:$B$80,Consolidado!BS29,'EXC-350PC'!$G$10:$G$81)</f>
        <v>82</v>
      </c>
      <c r="BT31" s="41">
        <f>SUMIF('EXC-350PC'!$B$10:$B$80,Consolidado!BT29,'EXC-350PC'!$G$10:$G$81)</f>
        <v>0</v>
      </c>
      <c r="BU31" s="82">
        <f>SUM(C31:BT31)</f>
        <v>4162.6658000000007</v>
      </c>
    </row>
    <row r="32" spans="1:73">
      <c r="A32" s="64">
        <v>2</v>
      </c>
      <c r="B32" s="77" t="s">
        <v>26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>
        <f>SUMIF('EXC. DOOSAN'!$B$10:$B$70,Consolidado!AJ29,'EXC. DOOSAN'!$G$10:$G$70)</f>
        <v>-84.55</v>
      </c>
      <c r="AK32" s="41">
        <f>SUMIF('EXC. DOOSAN'!$B$10:$B$70,Consolidado!AK29,'EXC. DOOSAN'!$G$10:$G$70)</f>
        <v>0</v>
      </c>
      <c r="AL32" s="122">
        <f>SUMIF('EXC. DOOSAN'!$B$10:$B$70,Consolidado!AL29,'EXC. DOOSAN'!$G$10:$G$70)</f>
        <v>52</v>
      </c>
      <c r="AM32" s="125">
        <f>SUMIF('EXC. DOOSAN'!$B$10:$B$70,Consolidado!AM29,'EXC. DOOSAN'!$G$10:$G$70)</f>
        <v>91</v>
      </c>
      <c r="AN32" s="41">
        <f>SUMIF('EXC. DOOSAN'!$B$10:$B$70,Consolidado!AN29,'EXC. DOOSAN'!$G$10:$G$70)</f>
        <v>0</v>
      </c>
      <c r="AO32" s="41">
        <f>SUMIF('EXC. DOOSAN'!$B$10:$B$70,Consolidado!AO29,'EXC. DOOSAN'!$G$10:$G$70)</f>
        <v>0</v>
      </c>
      <c r="AP32" s="95">
        <f>SUMIF('EXC. DOOSAN'!$B$10:$B$70,Consolidado!AP29,'EXC. DOOSAN'!$G$10:$G$70)</f>
        <v>90</v>
      </c>
      <c r="AQ32" s="95">
        <f>SUMIF('EXC. DOOSAN'!$B$10:$B$70,Consolidado!AQ29,'EXC. DOOSAN'!$G$10:$G$70)</f>
        <v>0</v>
      </c>
      <c r="AR32" s="95">
        <f>SUMIF('EXC. DOOSAN'!$B$10:$B$70,Consolidado!AR29,'EXC. DOOSAN'!$G$10:$G$70)</f>
        <v>0</v>
      </c>
      <c r="AS32" s="95">
        <f>SUMIF('EXC. DOOSAN'!$B$10:$B$70,Consolidado!AS29,'EXC. DOOSAN'!$G$10:$G$70)</f>
        <v>0</v>
      </c>
      <c r="AT32" s="95">
        <f>SUMIF('EXC. DOOSAN'!$B$10:$B$70,Consolidado!AT29,'EXC. DOOSAN'!$G$10:$G$70)</f>
        <v>57</v>
      </c>
      <c r="AU32" s="95">
        <f>SUMIF('EXC. DOOSAN'!$B$10:$B$70,Consolidado!AU29,'EXC. DOOSAN'!$G$10:$G$70)</f>
        <v>51.81</v>
      </c>
      <c r="AV32" s="95">
        <f>SUMIF('EXC. DOOSAN'!$B$10:$B$70,Consolidado!AV29,'EXC. DOOSAN'!$G$10:$G$70)</f>
        <v>0</v>
      </c>
      <c r="AW32" s="95">
        <f>SUMIF('EXC. DOOSAN'!$B$10:$B$70,Consolidado!AW29,'EXC. DOOSAN'!$G$10:$G$70)</f>
        <v>0</v>
      </c>
      <c r="AX32" s="95">
        <f>SUMIF('EXC. DOOSAN'!$B$10:$B$70,Consolidado!AX29,'EXC. DOOSAN'!$G$10:$G$70)</f>
        <v>103.53</v>
      </c>
      <c r="AY32" s="95">
        <f>SUMIF('EXC. DOOSAN'!$B$10:$B$70,Consolidado!AY29,'EXC. DOOSAN'!$G$10:$G$70)</f>
        <v>55</v>
      </c>
      <c r="AZ32" s="95">
        <f>SUMIF('EXC. DOOSAN'!$B$10:$B$70,Consolidado!AZ29,'EXC. DOOSAN'!$G$10:$G$70)</f>
        <v>101.2</v>
      </c>
      <c r="BA32" s="95">
        <f>SUMIF('EXC. DOOSAN'!$B$10:$B$70,Consolidado!BA29,'EXC. DOOSAN'!$G$10:$G$70)</f>
        <v>64.84</v>
      </c>
      <c r="BB32" s="95">
        <f>SUMIF('EXC. DOOSAN'!$B$10:$B$70,Consolidado!BB29,'EXC. DOOSAN'!$G$10:$G$70)</f>
        <v>0</v>
      </c>
      <c r="BC32" s="95">
        <f>SUMIF('EXC. DOOSAN'!$B$10:$B$70,Consolidado!BC29,'EXC. DOOSAN'!$G$10:$G$70)</f>
        <v>80.17</v>
      </c>
      <c r="BD32" s="95">
        <f>SUMIF('EXC. DOOSAN'!$B$10:$B$70,Consolidado!BD29,'EXC. DOOSAN'!$G$10:$G$70)</f>
        <v>0</v>
      </c>
      <c r="BE32" s="95">
        <f>SUMIF('EXC. DOOSAN'!$B$10:$B$70,Consolidado!BE29,'EXC. DOOSAN'!$G$10:$G$70)</f>
        <v>104.54</v>
      </c>
      <c r="BF32" s="95">
        <f>SUMIF('EXC. DOOSAN'!$B$10:$B$70,Consolidado!BF29,'EXC. DOOSAN'!$G$10:$G$70)</f>
        <v>0</v>
      </c>
      <c r="BG32" s="95">
        <f>SUMIF('EXC. DOOSAN'!$B$10:$B$70,Consolidado!BG29,'EXC. DOOSAN'!$G$10:$G$70)</f>
        <v>104.2</v>
      </c>
      <c r="BH32" s="95">
        <f>SUMIF('EXC. DOOSAN'!$B$10:$B$70,Consolidado!BH29,'EXC. DOOSAN'!$G$10:$G$70)</f>
        <v>95.33</v>
      </c>
      <c r="BI32" s="95">
        <f>SUMIF('EXC. DOOSAN'!$B$10:$B$70,Consolidado!BI29,'EXC. DOOSAN'!$G$10:$G$70)</f>
        <v>0</v>
      </c>
      <c r="BJ32" s="95">
        <f>SUMIF('EXC. DOOSAN'!$B$10:$B$70,Consolidado!BJ29,'EXC. DOOSAN'!$G$10:$G$70)</f>
        <v>52</v>
      </c>
      <c r="BK32" s="95">
        <f>SUMIF('EXC. DOOSAN'!$B$10:$B$70,Consolidado!BK29,'EXC. DOOSAN'!$G$10:$G$70)</f>
        <v>0</v>
      </c>
      <c r="BL32" s="95">
        <f>SUMIF('EXC. DOOSAN'!$B$10:$B$70,Consolidado!BL29,'EXC. DOOSAN'!$G$10:$G$70)</f>
        <v>63</v>
      </c>
      <c r="BM32" s="95">
        <f>SUMIF('EXC. DOOSAN'!$B$10:$B$70,Consolidado!BM29,'EXC. DOOSAN'!$G$10:$G$70)</f>
        <v>104</v>
      </c>
      <c r="BN32" s="95">
        <f>SUMIF('EXC. DOOSAN'!$B$10:$B$70,Consolidado!BN29,'EXC. DOOSAN'!$G$10:$G$70)</f>
        <v>0</v>
      </c>
      <c r="BO32" s="95">
        <f>SUMIF('EXC. DOOSAN'!$B$10:$B$70,Consolidado!BO29,'EXC. DOOSAN'!$G$10:$G$70)</f>
        <v>0</v>
      </c>
      <c r="BP32" s="95">
        <f>SUMIF('EXC. DOOSAN'!$B$10:$B$70,Consolidado!BP29,'EXC. DOOSAN'!$G$10:$G$70)</f>
        <v>0</v>
      </c>
      <c r="BQ32" s="95">
        <f>SUMIF('EXC. DOOSAN'!$B$10:$B$70,Consolidado!BQ29,'EXC. DOOSAN'!$G$10:$G$70)</f>
        <v>0</v>
      </c>
      <c r="BR32" s="95">
        <f>SUMIF('EXC. DOOSAN'!$B$10:$B$70,Consolidado!BR29,'EXC. DOOSAN'!$G$10:$G$70)</f>
        <v>102</v>
      </c>
      <c r="BS32" s="95">
        <f>SUMIF('EXC. DOOSAN'!$B$10:$B$70,Consolidado!BS29,'EXC. DOOSAN'!$G$10:$G$70)</f>
        <v>66</v>
      </c>
      <c r="BT32" s="95">
        <f>SUMIF('EXC. DOOSAN'!$B$10:$B$70,Consolidado!BT29,'EXC. DOOSAN'!$G$10:$G$70)</f>
        <v>106.25</v>
      </c>
      <c r="BU32" s="82">
        <f>SUM(C32:BT32)</f>
        <v>1459.3200000000002</v>
      </c>
    </row>
    <row r="33" spans="1:74">
      <c r="A33" s="170" t="s">
        <v>22</v>
      </c>
      <c r="B33" s="171"/>
      <c r="C33" s="81">
        <f t="shared" ref="C33:BT33" si="8">SUM(C31:C32)</f>
        <v>0</v>
      </c>
      <c r="D33" s="81">
        <f t="shared" si="8"/>
        <v>0</v>
      </c>
      <c r="E33" s="81">
        <f t="shared" si="8"/>
        <v>0</v>
      </c>
      <c r="F33" s="81">
        <f t="shared" si="8"/>
        <v>0</v>
      </c>
      <c r="G33" s="81">
        <f t="shared" si="8"/>
        <v>0</v>
      </c>
      <c r="H33" s="81">
        <f t="shared" si="8"/>
        <v>0</v>
      </c>
      <c r="I33" s="81">
        <f t="shared" si="8"/>
        <v>0</v>
      </c>
      <c r="J33" s="81">
        <f t="shared" si="8"/>
        <v>0</v>
      </c>
      <c r="K33" s="81">
        <f t="shared" si="8"/>
        <v>0</v>
      </c>
      <c r="L33" s="81">
        <f t="shared" si="8"/>
        <v>154.99</v>
      </c>
      <c r="M33" s="81">
        <f t="shared" si="8"/>
        <v>50</v>
      </c>
      <c r="N33" s="81">
        <f t="shared" si="8"/>
        <v>156.6448</v>
      </c>
      <c r="O33" s="81">
        <f t="shared" si="8"/>
        <v>0</v>
      </c>
      <c r="P33" s="81"/>
      <c r="Q33" s="81">
        <f t="shared" si="8"/>
        <v>72.83</v>
      </c>
      <c r="R33" s="81">
        <f t="shared" si="8"/>
        <v>70.36</v>
      </c>
      <c r="S33" s="81">
        <f t="shared" si="8"/>
        <v>95</v>
      </c>
      <c r="T33" s="81">
        <f t="shared" si="8"/>
        <v>119.82</v>
      </c>
      <c r="U33" s="81">
        <f t="shared" si="8"/>
        <v>118.76</v>
      </c>
      <c r="V33" s="81">
        <f t="shared" si="8"/>
        <v>124.36</v>
      </c>
      <c r="W33" s="81">
        <f t="shared" si="8"/>
        <v>82</v>
      </c>
      <c r="X33" s="81">
        <f t="shared" si="8"/>
        <v>101.47</v>
      </c>
      <c r="Y33" s="81">
        <f t="shared" si="8"/>
        <v>0</v>
      </c>
      <c r="Z33" s="81">
        <f t="shared" si="8"/>
        <v>116.75</v>
      </c>
      <c r="AA33" s="81">
        <f t="shared" si="8"/>
        <v>167.78100000000001</v>
      </c>
      <c r="AB33" s="81">
        <f t="shared" si="8"/>
        <v>76.95</v>
      </c>
      <c r="AC33" s="81">
        <f t="shared" si="8"/>
        <v>99.88</v>
      </c>
      <c r="AD33" s="81">
        <f t="shared" si="8"/>
        <v>0</v>
      </c>
      <c r="AE33" s="81">
        <f t="shared" si="8"/>
        <v>125.77</v>
      </c>
      <c r="AF33" s="81">
        <f t="shared" si="8"/>
        <v>0</v>
      </c>
      <c r="AG33" s="81">
        <f t="shared" si="8"/>
        <v>121.7</v>
      </c>
      <c r="AH33" s="81">
        <f t="shared" si="8"/>
        <v>0</v>
      </c>
      <c r="AI33" s="81">
        <f t="shared" si="8"/>
        <v>0</v>
      </c>
      <c r="AJ33" s="81">
        <f t="shared" si="8"/>
        <v>122.71</v>
      </c>
      <c r="AK33" s="81">
        <f t="shared" si="8"/>
        <v>0</v>
      </c>
      <c r="AL33" s="81">
        <f t="shared" si="8"/>
        <v>143.63</v>
      </c>
      <c r="AM33" s="81">
        <f t="shared" si="8"/>
        <v>182.4</v>
      </c>
      <c r="AN33" s="81">
        <f t="shared" si="8"/>
        <v>119</v>
      </c>
      <c r="AO33" s="81">
        <f t="shared" si="8"/>
        <v>0</v>
      </c>
      <c r="AP33" s="81">
        <f t="shared" si="8"/>
        <v>179</v>
      </c>
      <c r="AQ33" s="81">
        <f t="shared" si="8"/>
        <v>67.260000000000005</v>
      </c>
      <c r="AR33" s="81">
        <f t="shared" si="8"/>
        <v>91</v>
      </c>
      <c r="AS33" s="81">
        <f t="shared" si="8"/>
        <v>0</v>
      </c>
      <c r="AT33" s="81">
        <f t="shared" si="8"/>
        <v>157.6</v>
      </c>
      <c r="AU33" s="81">
        <f t="shared" si="8"/>
        <v>101.97</v>
      </c>
      <c r="AV33" s="81">
        <f t="shared" si="8"/>
        <v>0</v>
      </c>
      <c r="AW33" s="81">
        <f t="shared" si="8"/>
        <v>54.9</v>
      </c>
      <c r="AX33" s="81">
        <f t="shared" si="8"/>
        <v>171.32999999999998</v>
      </c>
      <c r="AY33" s="81">
        <f t="shared" si="8"/>
        <v>155.11000000000001</v>
      </c>
      <c r="AZ33" s="81">
        <f t="shared" si="8"/>
        <v>178.31</v>
      </c>
      <c r="BA33" s="81">
        <f t="shared" si="8"/>
        <v>125.66</v>
      </c>
      <c r="BB33" s="81">
        <f t="shared" si="8"/>
        <v>0</v>
      </c>
      <c r="BC33" s="81">
        <f t="shared" si="8"/>
        <v>130.51</v>
      </c>
      <c r="BD33" s="81">
        <f t="shared" si="8"/>
        <v>0</v>
      </c>
      <c r="BE33" s="81">
        <f t="shared" si="8"/>
        <v>170.54000000000002</v>
      </c>
      <c r="BF33" s="81">
        <f t="shared" si="8"/>
        <v>0</v>
      </c>
      <c r="BG33" s="81">
        <f t="shared" si="8"/>
        <v>202.25</v>
      </c>
      <c r="BH33" s="81">
        <f t="shared" si="8"/>
        <v>185.49</v>
      </c>
      <c r="BI33" s="81">
        <f t="shared" si="8"/>
        <v>0</v>
      </c>
      <c r="BJ33" s="81">
        <f t="shared" si="8"/>
        <v>161</v>
      </c>
      <c r="BK33" s="81">
        <f t="shared" si="8"/>
        <v>0</v>
      </c>
      <c r="BL33" s="81">
        <f t="shared" si="8"/>
        <v>172</v>
      </c>
      <c r="BM33" s="81">
        <f t="shared" si="8"/>
        <v>180</v>
      </c>
      <c r="BN33" s="81">
        <f t="shared" si="8"/>
        <v>0</v>
      </c>
      <c r="BO33" s="81">
        <f t="shared" si="8"/>
        <v>101</v>
      </c>
      <c r="BP33" s="81">
        <f t="shared" si="8"/>
        <v>135</v>
      </c>
      <c r="BQ33" s="81">
        <f t="shared" si="8"/>
        <v>0</v>
      </c>
      <c r="BR33" s="81">
        <f t="shared" si="8"/>
        <v>225</v>
      </c>
      <c r="BS33" s="81">
        <f t="shared" si="8"/>
        <v>148</v>
      </c>
      <c r="BT33" s="81">
        <f t="shared" si="8"/>
        <v>106.25</v>
      </c>
      <c r="BU33" s="83">
        <f>SUM(BU31:BU32)</f>
        <v>5621.9858000000004</v>
      </c>
    </row>
    <row r="34" spans="1:74" s="1" customFormat="1" ht="13.5" thickBot="1">
      <c r="A34" s="2"/>
    </row>
    <row r="35" spans="1:74">
      <c r="B35" s="188" t="s">
        <v>90</v>
      </c>
      <c r="C35" s="184" t="s">
        <v>250</v>
      </c>
      <c r="D35" s="185"/>
      <c r="E35" s="185"/>
      <c r="F35" s="128">
        <f>+F33+F25+F14</f>
        <v>115</v>
      </c>
      <c r="G35" s="128">
        <f t="shared" ref="G35:P35" si="9">+G33+G25+G14</f>
        <v>309.51318000000003</v>
      </c>
      <c r="H35" s="128">
        <f t="shared" si="9"/>
        <v>248.52</v>
      </c>
      <c r="I35" s="128">
        <f t="shared" si="9"/>
        <v>185</v>
      </c>
      <c r="J35" s="128">
        <f t="shared" si="9"/>
        <v>548.33200999999997</v>
      </c>
      <c r="K35" s="128">
        <f t="shared" si="9"/>
        <v>350</v>
      </c>
      <c r="L35" s="128">
        <f t="shared" si="9"/>
        <v>334.99</v>
      </c>
      <c r="M35" s="128">
        <f t="shared" si="9"/>
        <v>220</v>
      </c>
      <c r="N35" s="128">
        <f t="shared" si="9"/>
        <v>376.64679999999998</v>
      </c>
      <c r="O35" s="128">
        <f t="shared" si="9"/>
        <v>400</v>
      </c>
      <c r="P35" s="128">
        <f t="shared" si="9"/>
        <v>0</v>
      </c>
      <c r="Q35" s="128">
        <f>+Q33+Q25+P36</f>
        <v>449.99999999999994</v>
      </c>
      <c r="R35" s="128">
        <f t="shared" ref="R35:AF35" si="10">+R33+R25+R14</f>
        <v>361.39</v>
      </c>
      <c r="S35" s="128">
        <f t="shared" si="10"/>
        <v>260</v>
      </c>
      <c r="T35" s="128">
        <f t="shared" si="10"/>
        <v>438.28</v>
      </c>
      <c r="U35" s="128">
        <f t="shared" si="10"/>
        <v>550.34999999999991</v>
      </c>
      <c r="V35" s="128">
        <f>+V33+V25+V14</f>
        <v>280</v>
      </c>
      <c r="W35" s="128">
        <f>+W33+W25+W14</f>
        <v>459.2</v>
      </c>
      <c r="X35" s="128">
        <f t="shared" si="10"/>
        <v>101.47</v>
      </c>
      <c r="Y35" s="128">
        <f t="shared" si="10"/>
        <v>0</v>
      </c>
      <c r="Z35" s="128">
        <f>+Z33+Z25+Z14</f>
        <v>566.24</v>
      </c>
      <c r="AA35" s="128">
        <f>+AA33+AA25+AA14</f>
        <v>337.78100000000001</v>
      </c>
      <c r="AB35" s="128">
        <f>+AB33+AB25+AB14</f>
        <v>348.03</v>
      </c>
      <c r="AC35" s="128">
        <f>+AC33+AC25+AC14</f>
        <v>337.39000000000004</v>
      </c>
      <c r="AD35" s="128">
        <f>+AD33+AD25+AD14</f>
        <v>233.15500000000003</v>
      </c>
      <c r="AE35" s="128">
        <f t="shared" si="10"/>
        <v>220.45</v>
      </c>
      <c r="AF35" s="128">
        <f t="shared" si="10"/>
        <v>90</v>
      </c>
      <c r="AG35" s="128">
        <f t="shared" ref="AG35:AV35" si="11">+AG33+AG25+AG14</f>
        <v>273</v>
      </c>
      <c r="AH35" s="128">
        <f t="shared" si="11"/>
        <v>0</v>
      </c>
      <c r="AI35" s="128">
        <f t="shared" si="11"/>
        <v>0</v>
      </c>
      <c r="AJ35" s="128">
        <f t="shared" si="11"/>
        <v>122.71</v>
      </c>
      <c r="AK35" s="128">
        <f t="shared" si="11"/>
        <v>0</v>
      </c>
      <c r="AL35" s="128">
        <f t="shared" si="11"/>
        <v>327.60000000000002</v>
      </c>
      <c r="AM35" s="128">
        <f t="shared" si="11"/>
        <v>323.52</v>
      </c>
      <c r="AN35" s="128">
        <f t="shared" si="11"/>
        <v>199</v>
      </c>
      <c r="AO35" s="128">
        <f t="shared" si="11"/>
        <v>0</v>
      </c>
      <c r="AP35" s="128">
        <f t="shared" si="11"/>
        <v>395.53999999999996</v>
      </c>
      <c r="AQ35" s="128">
        <f t="shared" si="11"/>
        <v>233.69</v>
      </c>
      <c r="AR35" s="128">
        <f t="shared" si="11"/>
        <v>326.45999999999998</v>
      </c>
      <c r="AS35" s="128">
        <f t="shared" si="11"/>
        <v>191.27</v>
      </c>
      <c r="AT35" s="128">
        <f t="shared" si="11"/>
        <v>364.6</v>
      </c>
      <c r="AU35" s="128">
        <f t="shared" si="11"/>
        <v>335.89</v>
      </c>
      <c r="AV35" s="128">
        <f t="shared" si="11"/>
        <v>0</v>
      </c>
      <c r="AW35" s="128">
        <f t="shared" ref="AW35:BB35" si="12">+AW33+AW25+AW14</f>
        <v>331.58</v>
      </c>
      <c r="AX35" s="128">
        <f t="shared" si="12"/>
        <v>295.36</v>
      </c>
      <c r="AY35" s="128">
        <f t="shared" si="12"/>
        <v>416.74</v>
      </c>
      <c r="AZ35" s="128">
        <f t="shared" si="12"/>
        <v>452.53000000000003</v>
      </c>
      <c r="BA35" s="128">
        <f t="shared" si="12"/>
        <v>382.63</v>
      </c>
      <c r="BB35" s="128">
        <f t="shared" si="12"/>
        <v>278.34000000000003</v>
      </c>
      <c r="BC35" s="128">
        <f t="shared" ref="BC35:BH35" si="13">+BC33+BC25+BC14</f>
        <v>408.11</v>
      </c>
      <c r="BD35" s="128">
        <f t="shared" si="13"/>
        <v>254.89</v>
      </c>
      <c r="BE35" s="128">
        <f t="shared" si="13"/>
        <v>310.12</v>
      </c>
      <c r="BF35" s="128">
        <f t="shared" si="13"/>
        <v>365.8</v>
      </c>
      <c r="BG35" s="128">
        <f t="shared" si="13"/>
        <v>371.78</v>
      </c>
      <c r="BH35" s="128">
        <f t="shared" si="13"/>
        <v>379.72879999999998</v>
      </c>
      <c r="BI35" s="128">
        <f t="shared" ref="BI35:BT35" si="14">+BI33+BI25+BI14</f>
        <v>288.61</v>
      </c>
      <c r="BJ35" s="128">
        <f t="shared" si="14"/>
        <v>440</v>
      </c>
      <c r="BK35" s="128">
        <f t="shared" si="14"/>
        <v>0</v>
      </c>
      <c r="BL35" s="128">
        <f t="shared" si="14"/>
        <v>410</v>
      </c>
      <c r="BM35" s="128">
        <f t="shared" si="14"/>
        <v>431</v>
      </c>
      <c r="BN35" s="128">
        <f t="shared" si="14"/>
        <v>228</v>
      </c>
      <c r="BO35" s="128">
        <f t="shared" si="14"/>
        <v>300</v>
      </c>
      <c r="BP35" s="128">
        <f t="shared" si="14"/>
        <v>411</v>
      </c>
      <c r="BQ35" s="128">
        <f t="shared" si="14"/>
        <v>0</v>
      </c>
      <c r="BR35" s="128">
        <f t="shared" si="14"/>
        <v>500</v>
      </c>
      <c r="BS35" s="128">
        <f t="shared" si="14"/>
        <v>280</v>
      </c>
      <c r="BT35" s="128">
        <f t="shared" si="14"/>
        <v>106.25</v>
      </c>
      <c r="BU35" s="129"/>
    </row>
    <row r="36" spans="1:74">
      <c r="B36" s="189"/>
      <c r="C36" s="186" t="s">
        <v>251</v>
      </c>
      <c r="D36" s="187"/>
      <c r="E36" s="187"/>
      <c r="F36" s="47">
        <v>115</v>
      </c>
      <c r="G36" s="47">
        <v>309.51319999999998</v>
      </c>
      <c r="H36" s="47">
        <v>248.52</v>
      </c>
      <c r="I36" s="47">
        <v>185</v>
      </c>
      <c r="J36" s="47">
        <v>548.33000000000004</v>
      </c>
      <c r="K36" s="47">
        <v>350</v>
      </c>
      <c r="L36" s="47">
        <v>334.99</v>
      </c>
      <c r="M36" s="47">
        <v>220</v>
      </c>
      <c r="N36" s="47">
        <v>376.65</v>
      </c>
      <c r="O36" s="47">
        <v>400</v>
      </c>
      <c r="P36" s="47">
        <v>100</v>
      </c>
      <c r="Q36" s="47">
        <v>460</v>
      </c>
      <c r="R36" s="47">
        <f>200+80+50</f>
        <v>330</v>
      </c>
      <c r="S36" s="47">
        <f>270</f>
        <v>270</v>
      </c>
      <c r="T36" s="47">
        <f>225+220</f>
        <v>445</v>
      </c>
      <c r="U36" s="47">
        <f>270+210+70</f>
        <v>550</v>
      </c>
      <c r="V36" s="47">
        <v>280</v>
      </c>
      <c r="W36" s="47">
        <f>280+180</f>
        <v>460</v>
      </c>
      <c r="X36" s="47">
        <v>100</v>
      </c>
      <c r="Y36" s="47"/>
      <c r="Z36" s="47">
        <f>280+280</f>
        <v>560</v>
      </c>
      <c r="AA36" s="47">
        <f>57.78+110+170</f>
        <v>337.78</v>
      </c>
      <c r="AB36" s="47">
        <f>280+100</f>
        <v>380</v>
      </c>
      <c r="AC36" s="47">
        <f>100+200</f>
        <v>300</v>
      </c>
      <c r="AD36" s="47">
        <f>120+81.415</f>
        <v>201.41500000000002</v>
      </c>
      <c r="AE36" s="47">
        <v>220</v>
      </c>
      <c r="AF36" s="47">
        <v>90</v>
      </c>
      <c r="AG36" s="47">
        <v>273</v>
      </c>
      <c r="AH36" s="47"/>
      <c r="AI36" s="47"/>
      <c r="AJ36" s="47">
        <v>122.71</v>
      </c>
      <c r="AK36" s="47"/>
      <c r="AL36" s="47">
        <v>348</v>
      </c>
      <c r="AM36" s="47">
        <v>312</v>
      </c>
      <c r="AN36" s="47">
        <v>200</v>
      </c>
      <c r="AO36" s="47"/>
      <c r="AP36" s="47">
        <f>220+180</f>
        <v>400</v>
      </c>
      <c r="AQ36" s="47">
        <v>240</v>
      </c>
      <c r="AR36" s="47">
        <f>240+100</f>
        <v>340</v>
      </c>
      <c r="AS36" s="47">
        <v>200</v>
      </c>
      <c r="AT36" s="47">
        <f>200+160</f>
        <v>360</v>
      </c>
      <c r="AU36" s="47">
        <f>240+100</f>
        <v>340</v>
      </c>
      <c r="AV36" s="47"/>
      <c r="AW36" s="47">
        <f>280+52</f>
        <v>332</v>
      </c>
      <c r="AX36" s="47">
        <f>100+200</f>
        <v>300</v>
      </c>
      <c r="AY36" s="47">
        <f>280+140</f>
        <v>420</v>
      </c>
      <c r="AZ36" s="47">
        <f>280+180</f>
        <v>460</v>
      </c>
      <c r="BA36" s="130">
        <f>280+100</f>
        <v>380</v>
      </c>
      <c r="BB36" s="47">
        <v>280</v>
      </c>
      <c r="BC36" s="47">
        <f>281+130</f>
        <v>411</v>
      </c>
      <c r="BD36" s="47">
        <v>280</v>
      </c>
      <c r="BE36" s="47">
        <f>280+48</f>
        <v>328</v>
      </c>
      <c r="BF36" s="47">
        <f>200+150</f>
        <v>350</v>
      </c>
      <c r="BG36" s="47">
        <f>240+120</f>
        <v>360</v>
      </c>
      <c r="BH36" s="47">
        <f>200+200</f>
        <v>400</v>
      </c>
      <c r="BI36" s="47">
        <v>280</v>
      </c>
      <c r="BJ36" s="47">
        <f>280+160</f>
        <v>440</v>
      </c>
      <c r="BK36" s="47"/>
      <c r="BL36" s="47">
        <f>280+130</f>
        <v>410</v>
      </c>
      <c r="BM36" s="47">
        <f>280+200</f>
        <v>480</v>
      </c>
      <c r="BN36" s="47">
        <v>220</v>
      </c>
      <c r="BO36" s="47">
        <f>200+100</f>
        <v>300</v>
      </c>
      <c r="BP36" s="47">
        <f>280+100</f>
        <v>380</v>
      </c>
      <c r="BQ36" s="47"/>
      <c r="BR36" s="47">
        <f>220+280</f>
        <v>500</v>
      </c>
      <c r="BS36" s="47">
        <v>280</v>
      </c>
      <c r="BT36" s="47">
        <v>106.25</v>
      </c>
      <c r="BU36" s="131"/>
    </row>
    <row r="37" spans="1:74" ht="15.75" thickBot="1">
      <c r="B37" s="190"/>
      <c r="C37" s="191" t="s">
        <v>242</v>
      </c>
      <c r="D37" s="192"/>
      <c r="E37" s="192"/>
      <c r="F37" s="132">
        <f>+F36-F35</f>
        <v>0</v>
      </c>
      <c r="G37" s="132">
        <v>0</v>
      </c>
      <c r="H37" s="132">
        <f t="shared" ref="H37:O37" si="15">+H36-H35</f>
        <v>0</v>
      </c>
      <c r="I37" s="132">
        <f t="shared" si="15"/>
        <v>0</v>
      </c>
      <c r="J37" s="132">
        <v>0</v>
      </c>
      <c r="K37" s="132">
        <f t="shared" si="15"/>
        <v>0</v>
      </c>
      <c r="L37" s="132">
        <f t="shared" si="15"/>
        <v>0</v>
      </c>
      <c r="M37" s="132">
        <f t="shared" si="15"/>
        <v>0</v>
      </c>
      <c r="N37" s="132">
        <v>0</v>
      </c>
      <c r="O37" s="132">
        <f t="shared" si="15"/>
        <v>0</v>
      </c>
      <c r="P37" s="132">
        <v>0</v>
      </c>
      <c r="Q37" s="132">
        <f>+Q36-Q35+P37</f>
        <v>10.000000000000057</v>
      </c>
      <c r="R37" s="132">
        <f>+R36-R35+Q37</f>
        <v>-21.38999999999993</v>
      </c>
      <c r="S37" s="132">
        <f>+S35-S36</f>
        <v>-10</v>
      </c>
      <c r="T37" s="132">
        <f>+T35-T36</f>
        <v>-6.7200000000000273</v>
      </c>
      <c r="U37" s="132">
        <f>+U35-U36</f>
        <v>0.34999999999990905</v>
      </c>
      <c r="V37" s="132">
        <f>+V36-V35+U37</f>
        <v>0.34999999999990905</v>
      </c>
      <c r="W37" s="132">
        <f>+W36-W35+V37</f>
        <v>1.1499999999999204</v>
      </c>
      <c r="X37" s="132">
        <f>+X36-X35+W37</f>
        <v>-0.32000000000007844</v>
      </c>
      <c r="Y37" s="132">
        <v>0</v>
      </c>
      <c r="Z37" s="132">
        <f>+Z36-Z35+Y37</f>
        <v>-6.2400000000000091</v>
      </c>
      <c r="AA37" s="132">
        <f>+AA36-AA35</f>
        <v>-1.0000000000331966E-3</v>
      </c>
      <c r="AB37" s="132">
        <f>+AB36-AB35</f>
        <v>31.970000000000027</v>
      </c>
      <c r="AC37" s="132">
        <f t="shared" ref="AC37:AK37" si="16">+AC36-AC35+AB37</f>
        <v>-5.4200000000000159</v>
      </c>
      <c r="AD37" s="132">
        <f t="shared" si="16"/>
        <v>-37.160000000000025</v>
      </c>
      <c r="AE37" s="132">
        <f t="shared" si="16"/>
        <v>-37.610000000000014</v>
      </c>
      <c r="AF37" s="132">
        <f t="shared" si="16"/>
        <v>-37.610000000000014</v>
      </c>
      <c r="AG37" s="132">
        <f t="shared" si="16"/>
        <v>-37.610000000000014</v>
      </c>
      <c r="AH37" s="133">
        <f t="shared" si="16"/>
        <v>-37.610000000000014</v>
      </c>
      <c r="AI37" s="132">
        <f t="shared" si="16"/>
        <v>-37.610000000000014</v>
      </c>
      <c r="AJ37" s="132">
        <f t="shared" si="16"/>
        <v>-37.610000000000014</v>
      </c>
      <c r="AK37" s="132">
        <f t="shared" si="16"/>
        <v>-37.610000000000014</v>
      </c>
      <c r="AL37" s="132">
        <f t="shared" ref="AL37:AU37" si="17">+AL36-AL35+AK37</f>
        <v>-17.210000000000036</v>
      </c>
      <c r="AM37" s="132">
        <f t="shared" si="17"/>
        <v>-28.730000000000018</v>
      </c>
      <c r="AN37" s="132">
        <f t="shared" si="17"/>
        <v>-27.730000000000018</v>
      </c>
      <c r="AO37" s="132">
        <f t="shared" si="17"/>
        <v>-27.730000000000018</v>
      </c>
      <c r="AP37" s="132">
        <f t="shared" si="17"/>
        <v>-23.269999999999982</v>
      </c>
      <c r="AQ37" s="132">
        <f t="shared" si="17"/>
        <v>-16.95999999999998</v>
      </c>
      <c r="AR37" s="132">
        <f t="shared" si="17"/>
        <v>-3.4199999999999591</v>
      </c>
      <c r="AS37" s="132">
        <f t="shared" si="17"/>
        <v>5.3100000000000307</v>
      </c>
      <c r="AT37" s="132">
        <f t="shared" si="17"/>
        <v>0.71000000000000796</v>
      </c>
      <c r="AU37" s="132">
        <f t="shared" si="17"/>
        <v>4.8200000000000216</v>
      </c>
      <c r="AV37" s="132">
        <f>+AV36-AV35+AU37</f>
        <v>4.8200000000000216</v>
      </c>
      <c r="AW37" s="132">
        <f t="shared" ref="AW37:AX37" si="18">+AW36-AW35+AV37</f>
        <v>5.2400000000000375</v>
      </c>
      <c r="AX37" s="132">
        <f t="shared" si="18"/>
        <v>9.8800000000000239</v>
      </c>
      <c r="AY37" s="132">
        <f t="shared" ref="AY37" si="19">+AY36-AY35+AX37</f>
        <v>13.140000000000015</v>
      </c>
      <c r="AZ37" s="139">
        <f t="shared" ref="AZ37" si="20">+AZ36-AZ35+AY37</f>
        <v>20.609999999999985</v>
      </c>
      <c r="BA37" s="134">
        <f>+BA36-BA35</f>
        <v>-2.6299999999999955</v>
      </c>
      <c r="BB37" s="132">
        <f>+BB36-BB35</f>
        <v>1.6599999999999682</v>
      </c>
      <c r="BC37" s="132">
        <f>+BC36-BC35</f>
        <v>2.8899999999999864</v>
      </c>
      <c r="BD37" s="133">
        <f>+BD36-BD35</f>
        <v>25.110000000000014</v>
      </c>
      <c r="BE37" s="133">
        <f t="shared" ref="BE37:BI37" si="21">+BE36-BE35+BD37</f>
        <v>42.990000000000009</v>
      </c>
      <c r="BF37" s="133">
        <f t="shared" si="21"/>
        <v>27.189999999999998</v>
      </c>
      <c r="BG37" s="133">
        <f t="shared" si="21"/>
        <v>15.410000000000025</v>
      </c>
      <c r="BH37" s="133">
        <f t="shared" si="21"/>
        <v>35.681200000000047</v>
      </c>
      <c r="BI37" s="133">
        <f t="shared" si="21"/>
        <v>27.071200000000033</v>
      </c>
      <c r="BJ37" s="133">
        <f>+BJ36-BJ35+BI37</f>
        <v>27.071200000000033</v>
      </c>
      <c r="BK37" s="133">
        <f t="shared" ref="BK37" si="22">+BK36-BK35+BJ37</f>
        <v>27.071200000000033</v>
      </c>
      <c r="BL37" s="133">
        <f t="shared" ref="BL37:BN37" si="23">+BL36-BL35+BK37</f>
        <v>27.071200000000033</v>
      </c>
      <c r="BM37" s="133">
        <f t="shared" si="23"/>
        <v>76.071200000000033</v>
      </c>
      <c r="BN37" s="133">
        <f t="shared" si="23"/>
        <v>68.071200000000033</v>
      </c>
      <c r="BO37" s="133">
        <f t="shared" ref="BO37" si="24">+BO36-BO35+BN37</f>
        <v>68.071200000000033</v>
      </c>
      <c r="BP37" s="133">
        <f t="shared" ref="BP37" si="25">+BP36-BP35+BO37</f>
        <v>37.071200000000033</v>
      </c>
      <c r="BQ37" s="133">
        <f t="shared" ref="BQ37" si="26">+BQ36-BQ35+BP37</f>
        <v>37.071200000000033</v>
      </c>
      <c r="BR37" s="133">
        <f t="shared" ref="BR37:BT37" si="27">+BR36-BR35+BQ37</f>
        <v>37.071200000000033</v>
      </c>
      <c r="BS37" s="133">
        <f t="shared" si="27"/>
        <v>37.071200000000033</v>
      </c>
      <c r="BT37" s="133">
        <f t="shared" si="27"/>
        <v>37.071200000000033</v>
      </c>
      <c r="BU37" s="135"/>
    </row>
    <row r="38" spans="1:74">
      <c r="BA38" s="78"/>
      <c r="BU38" s="84"/>
    </row>
    <row r="39" spans="1:74">
      <c r="A39" s="195" t="s">
        <v>53</v>
      </c>
      <c r="B39" s="195"/>
      <c r="C39" s="195"/>
      <c r="D39" s="195"/>
      <c r="E39" s="195"/>
      <c r="BH39" s="140" t="s">
        <v>325</v>
      </c>
      <c r="BU39" s="84"/>
    </row>
    <row r="40" spans="1:74">
      <c r="BU40" s="78"/>
    </row>
    <row r="41" spans="1:74" ht="15" customHeight="1">
      <c r="A41" s="204" t="s">
        <v>24</v>
      </c>
      <c r="B41" s="178" t="s">
        <v>25</v>
      </c>
      <c r="C41" s="179"/>
      <c r="D41" s="177" t="s">
        <v>52</v>
      </c>
      <c r="E41" s="177"/>
    </row>
    <row r="42" spans="1:74" ht="15" customHeight="1">
      <c r="A42" s="204"/>
      <c r="B42" s="180"/>
      <c r="C42" s="181"/>
      <c r="D42" s="177"/>
      <c r="E42" s="177"/>
      <c r="BU42" s="78"/>
      <c r="BV42" s="61"/>
    </row>
    <row r="43" spans="1:74">
      <c r="A43" s="204"/>
      <c r="B43" s="182"/>
      <c r="C43" s="183"/>
      <c r="D43" s="177"/>
      <c r="E43" s="177"/>
      <c r="BV43" s="39"/>
    </row>
    <row r="44" spans="1:74">
      <c r="A44" s="59"/>
      <c r="B44" s="202"/>
      <c r="C44" s="203"/>
      <c r="D44" s="196"/>
      <c r="E44" s="197"/>
    </row>
    <row r="45" spans="1:74">
      <c r="A45" s="60">
        <v>2</v>
      </c>
      <c r="B45" s="175" t="s">
        <v>33</v>
      </c>
      <c r="C45" s="176"/>
      <c r="D45" s="172">
        <f>+BU11+BU22</f>
        <v>4387.9019100000014</v>
      </c>
      <c r="E45" s="173"/>
    </row>
    <row r="46" spans="1:74">
      <c r="A46" s="64">
        <v>3</v>
      </c>
      <c r="B46" s="175" t="s">
        <v>34</v>
      </c>
      <c r="C46" s="176"/>
      <c r="D46" s="172">
        <f>+BU12+BU23</f>
        <v>3672.8747399999997</v>
      </c>
      <c r="E46" s="173"/>
    </row>
    <row r="47" spans="1:74">
      <c r="A47" s="64">
        <v>4</v>
      </c>
      <c r="B47" s="175" t="s">
        <v>83</v>
      </c>
      <c r="C47" s="176"/>
      <c r="D47" s="172">
        <f>+BU13</f>
        <v>47.86</v>
      </c>
      <c r="E47" s="173"/>
    </row>
    <row r="48" spans="1:74">
      <c r="A48" s="64">
        <v>7</v>
      </c>
      <c r="B48" s="175" t="s">
        <v>66</v>
      </c>
      <c r="C48" s="176" t="s">
        <v>66</v>
      </c>
      <c r="D48" s="172">
        <f>+BU24</f>
        <v>1192.1353099999999</v>
      </c>
      <c r="E48" s="173"/>
    </row>
    <row r="49" spans="1:29">
      <c r="A49" s="64">
        <v>5</v>
      </c>
      <c r="B49" s="175" t="s">
        <v>26</v>
      </c>
      <c r="C49" s="176" t="s">
        <v>26</v>
      </c>
      <c r="D49" s="172">
        <f>+BU32+BU21</f>
        <v>2857.9970000000003</v>
      </c>
      <c r="E49" s="173"/>
    </row>
    <row r="50" spans="1:29">
      <c r="A50" s="60">
        <v>1</v>
      </c>
      <c r="B50" s="175" t="s">
        <v>27</v>
      </c>
      <c r="C50" s="176"/>
      <c r="D50" s="172">
        <f>+BU10+BU20</f>
        <v>2890.165</v>
      </c>
      <c r="E50" s="173"/>
    </row>
    <row r="51" spans="1:29">
      <c r="A51" s="64">
        <v>8</v>
      </c>
      <c r="B51" s="198" t="s">
        <v>101</v>
      </c>
      <c r="C51" s="199"/>
      <c r="D51" s="172">
        <f>+BU31</f>
        <v>4162.6658000000007</v>
      </c>
      <c r="E51" s="173"/>
    </row>
    <row r="52" spans="1:29">
      <c r="A52" s="64">
        <v>9</v>
      </c>
      <c r="B52" s="175"/>
      <c r="C52" s="199"/>
      <c r="D52" s="172"/>
      <c r="E52" s="173"/>
    </row>
    <row r="53" spans="1:29">
      <c r="A53" s="200" t="s">
        <v>22</v>
      </c>
      <c r="B53" s="201"/>
      <c r="C53" s="201"/>
      <c r="D53" s="193">
        <f>SUM(D45:E52)</f>
        <v>19211.599760000005</v>
      </c>
      <c r="E53" s="194"/>
    </row>
    <row r="55" spans="1:29">
      <c r="D55" s="166">
        <f>+D53*14</f>
        <v>268962.39664000005</v>
      </c>
      <c r="E55" s="166"/>
    </row>
    <row r="57" spans="1:29">
      <c r="AC57" s="40">
        <f>125+246</f>
        <v>371</v>
      </c>
    </row>
  </sheetData>
  <mergeCells count="45">
    <mergeCell ref="D53:E53"/>
    <mergeCell ref="A39:E39"/>
    <mergeCell ref="D44:E44"/>
    <mergeCell ref="D52:E52"/>
    <mergeCell ref="B51:C51"/>
    <mergeCell ref="A53:C53"/>
    <mergeCell ref="B52:C52"/>
    <mergeCell ref="B44:C44"/>
    <mergeCell ref="B50:C50"/>
    <mergeCell ref="B45:C45"/>
    <mergeCell ref="B46:C46"/>
    <mergeCell ref="B47:C47"/>
    <mergeCell ref="D48:E48"/>
    <mergeCell ref="D49:E49"/>
    <mergeCell ref="A41:A43"/>
    <mergeCell ref="D28:BB28"/>
    <mergeCell ref="B41:C43"/>
    <mergeCell ref="A33:B33"/>
    <mergeCell ref="A28:A29"/>
    <mergeCell ref="B28:B29"/>
    <mergeCell ref="C35:E35"/>
    <mergeCell ref="C36:E36"/>
    <mergeCell ref="B35:B37"/>
    <mergeCell ref="C37:E37"/>
    <mergeCell ref="D46:E46"/>
    <mergeCell ref="D47:E47"/>
    <mergeCell ref="D41:E43"/>
    <mergeCell ref="D50:E50"/>
    <mergeCell ref="D45:E45"/>
    <mergeCell ref="A2:BU2"/>
    <mergeCell ref="D55:E55"/>
    <mergeCell ref="BU7:BU8"/>
    <mergeCell ref="D7:BB7"/>
    <mergeCell ref="A14:B14"/>
    <mergeCell ref="D51:E51"/>
    <mergeCell ref="BU28:BU29"/>
    <mergeCell ref="A17:A18"/>
    <mergeCell ref="B17:B18"/>
    <mergeCell ref="D17:BB17"/>
    <mergeCell ref="BU17:BU18"/>
    <mergeCell ref="A25:B25"/>
    <mergeCell ref="B49:C49"/>
    <mergeCell ref="B48:C48"/>
    <mergeCell ref="A7:A8"/>
    <mergeCell ref="B7:B8"/>
  </mergeCells>
  <phoneticPr fontId="9" type="noConversion"/>
  <pageMargins left="0.7" right="0.7" top="0.75" bottom="0.75" header="0.3" footer="0.3"/>
  <pageSetup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EXC-350PC</vt:lpstr>
      <vt:lpstr>EXC. DOOSAN</vt:lpstr>
      <vt:lpstr>Camioneta serv</vt:lpstr>
      <vt:lpstr>EXC. Kobelco SK-350</vt:lpstr>
      <vt:lpstr>TRAC D-155 82071</vt:lpstr>
      <vt:lpstr>TRAC-D155 82081</vt:lpstr>
      <vt:lpstr>TRAC D-komatsu</vt:lpstr>
      <vt:lpstr>Consolidado</vt:lpstr>
      <vt:lpstr>'Camioneta serv'!Área_de_impresión</vt:lpstr>
      <vt:lpstr>'EXC. DOOSAN'!Área_de_impresión</vt:lpstr>
      <vt:lpstr>'EXC. Kobelco SK-350'!Área_de_impresión</vt:lpstr>
      <vt:lpstr>'EXC-350PC'!Área_de_impresión</vt:lpstr>
      <vt:lpstr>'TRAC D-155 82071'!Área_de_impresión</vt:lpstr>
      <vt:lpstr>'TRAC D-komatsu'!Área_de_impresión</vt:lpstr>
      <vt:lpstr>'TRAC-D155 82081'!Área_de_impresión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Chumbes</dc:creator>
  <cp:lastModifiedBy>Romel</cp:lastModifiedBy>
  <cp:lastPrinted>2025-09-27T19:17:34Z</cp:lastPrinted>
  <dcterms:created xsi:type="dcterms:W3CDTF">2014-12-30T20:37:00Z</dcterms:created>
  <dcterms:modified xsi:type="dcterms:W3CDTF">2026-04-23T06:22:26Z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3082-10.2.0.5965</vt:lpwstr>
  </property>
</Properties>
</file>